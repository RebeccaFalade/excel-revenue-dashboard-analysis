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DELL\OneDrive\Desktop\E1X\Excel\"/>
    </mc:Choice>
  </mc:AlternateContent>
  <xr:revisionPtr revIDLastSave="0" documentId="13_ncr:1_{76E3230F-E450-4914-A2B2-152CCC045519}" xr6:coauthVersionLast="47" xr6:coauthVersionMax="47" xr10:uidLastSave="{00000000-0000-0000-0000-000000000000}"/>
  <bookViews>
    <workbookView xWindow="-120" yWindow="-120" windowWidth="20730" windowHeight="11040" activeTab="2" xr2:uid="{00000000-000D-0000-FFFF-FFFF00000000}"/>
  </bookViews>
  <sheets>
    <sheet name="Orders" sheetId="1" r:id="rId1"/>
    <sheet name="Revenue Pivot" sheetId="5" r:id="rId2"/>
    <sheet name="Revenue Chart" sheetId="6" r:id="rId3"/>
    <sheet name="Employee Lookup" sheetId="2" r:id="rId4"/>
    <sheet name="Product Lookup" sheetId="3" r:id="rId5"/>
    <sheet name="Instructions" sheetId="4" r:id="rId6"/>
  </sheets>
  <definedNames>
    <definedName name="_xlnm._FilterDatabase" localSheetId="0" hidden="1">Orders!$A$4:$K$59</definedName>
  </definedNames>
  <calcPr calcId="191029"/>
  <pivotCaches>
    <pivotCache cacheId="0" r:id="rId7"/>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5" i="1" l="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5" i="1"/>
  <c r="K18" i="1"/>
  <c r="J6" i="1"/>
  <c r="K6" i="1" s="1"/>
  <c r="J7" i="1"/>
  <c r="K7" i="1" s="1"/>
  <c r="J8" i="1"/>
  <c r="K8" i="1" s="1"/>
  <c r="J9" i="1"/>
  <c r="K9" i="1" s="1"/>
  <c r="J10" i="1"/>
  <c r="K10" i="1" s="1"/>
  <c r="J11" i="1"/>
  <c r="K11" i="1" s="1"/>
  <c r="J12" i="1"/>
  <c r="K12" i="1" s="1"/>
  <c r="J13" i="1"/>
  <c r="K13" i="1" s="1"/>
  <c r="J14" i="1"/>
  <c r="K14" i="1" s="1"/>
  <c r="J15" i="1"/>
  <c r="K15" i="1" s="1"/>
  <c r="J16" i="1"/>
  <c r="K16" i="1" s="1"/>
  <c r="J17" i="1"/>
  <c r="K17" i="1" s="1"/>
  <c r="J18" i="1"/>
  <c r="J19" i="1"/>
  <c r="K19" i="1" s="1"/>
  <c r="J20" i="1"/>
  <c r="K20" i="1" s="1"/>
  <c r="J21" i="1"/>
  <c r="K21" i="1" s="1"/>
  <c r="J22" i="1"/>
  <c r="K22" i="1" s="1"/>
  <c r="J23" i="1"/>
  <c r="K23" i="1" s="1"/>
  <c r="J24" i="1"/>
  <c r="K24" i="1" s="1"/>
  <c r="J25" i="1"/>
  <c r="K25" i="1" s="1"/>
  <c r="J26" i="1"/>
  <c r="K26" i="1" s="1"/>
  <c r="J27" i="1"/>
  <c r="K27" i="1" s="1"/>
  <c r="J28" i="1"/>
  <c r="K28" i="1" s="1"/>
  <c r="J29" i="1"/>
  <c r="K29" i="1" s="1"/>
  <c r="J30" i="1"/>
  <c r="K30" i="1" s="1"/>
  <c r="J31" i="1"/>
  <c r="K31" i="1" s="1"/>
  <c r="J32" i="1"/>
  <c r="K32" i="1" s="1"/>
  <c r="J33" i="1"/>
  <c r="K33" i="1" s="1"/>
  <c r="J34" i="1"/>
  <c r="K34" i="1" s="1"/>
  <c r="J35" i="1"/>
  <c r="K35" i="1" s="1"/>
  <c r="J36" i="1"/>
  <c r="K36" i="1" s="1"/>
  <c r="J37" i="1"/>
  <c r="K37" i="1" s="1"/>
  <c r="J38" i="1"/>
  <c r="K38" i="1" s="1"/>
  <c r="J39" i="1"/>
  <c r="K39" i="1" s="1"/>
  <c r="J40" i="1"/>
  <c r="K40" i="1" s="1"/>
  <c r="J41" i="1"/>
  <c r="K41" i="1" s="1"/>
  <c r="J42" i="1"/>
  <c r="K42" i="1" s="1"/>
  <c r="J43" i="1"/>
  <c r="K43" i="1" s="1"/>
  <c r="J44" i="1"/>
  <c r="K44" i="1" s="1"/>
  <c r="J45" i="1"/>
  <c r="K45" i="1" s="1"/>
  <c r="J46" i="1"/>
  <c r="K46" i="1" s="1"/>
  <c r="J47" i="1"/>
  <c r="K47" i="1" s="1"/>
  <c r="J48" i="1"/>
  <c r="K48" i="1" s="1"/>
  <c r="J49" i="1"/>
  <c r="K49" i="1" s="1"/>
  <c r="J50" i="1"/>
  <c r="K50" i="1" s="1"/>
  <c r="J51" i="1"/>
  <c r="K51" i="1" s="1"/>
  <c r="J52" i="1"/>
  <c r="K52" i="1" s="1"/>
  <c r="J53" i="1"/>
  <c r="K53" i="1" s="1"/>
  <c r="J54" i="1"/>
  <c r="K54" i="1" s="1"/>
  <c r="J55" i="1"/>
  <c r="K55" i="1" s="1"/>
  <c r="J56" i="1"/>
  <c r="K56" i="1" s="1"/>
  <c r="J57" i="1"/>
  <c r="K57" i="1" s="1"/>
  <c r="J58" i="1"/>
  <c r="K58" i="1" s="1"/>
  <c r="J59" i="1"/>
  <c r="K59" i="1" s="1"/>
  <c r="J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5" i="1"/>
</calcChain>
</file>

<file path=xl/sharedStrings.xml><?xml version="1.0" encoding="utf-8"?>
<sst xmlns="http://schemas.openxmlformats.org/spreadsheetml/2006/main" count="296" uniqueCount="150">
  <si>
    <t>TechMart Global — Sales Orders (Practice Data)</t>
  </si>
  <si>
    <t>Columns A–E are raw order data. Columns F–K are your workspace — complete the lookup tasks on the Instructions tab, then build a PivotTable and PivotChart from this table.</t>
  </si>
  <si>
    <t>Order ID</t>
  </si>
  <si>
    <t>Order Date</t>
  </si>
  <si>
    <t>Rep ID</t>
  </si>
  <si>
    <t>Product Code</t>
  </si>
  <si>
    <t>Quantity</t>
  </si>
  <si>
    <t>Rep Name</t>
  </si>
  <si>
    <t>Region</t>
  </si>
  <si>
    <t>Product Name</t>
  </si>
  <si>
    <t>Category</t>
  </si>
  <si>
    <t>Unit Price</t>
  </si>
  <si>
    <t>Line Total</t>
  </si>
  <si>
    <t>SO-2001</t>
  </si>
  <si>
    <t>E03</t>
  </si>
  <si>
    <t>P202</t>
  </si>
  <si>
    <t>SO-2002</t>
  </si>
  <si>
    <t>E02</t>
  </si>
  <si>
    <t>P301</t>
  </si>
  <si>
    <t>SO-2003</t>
  </si>
  <si>
    <t>E01</t>
  </si>
  <si>
    <t>SO-2004</t>
  </si>
  <si>
    <t>SO-2005</t>
  </si>
  <si>
    <t>E04</t>
  </si>
  <si>
    <t>P101</t>
  </si>
  <si>
    <t>SO-2006</t>
  </si>
  <si>
    <t>P302</t>
  </si>
  <si>
    <t>SO-2007</t>
  </si>
  <si>
    <t>SO-2008</t>
  </si>
  <si>
    <t>P103</t>
  </si>
  <si>
    <t>SO-2009</t>
  </si>
  <si>
    <t>P200</t>
  </si>
  <si>
    <t>SO-2010</t>
  </si>
  <si>
    <t>E99</t>
  </si>
  <si>
    <t>SO-2011</t>
  </si>
  <si>
    <t>SO-2012</t>
  </si>
  <si>
    <t>P201</t>
  </si>
  <si>
    <t>SO-2013</t>
  </si>
  <si>
    <t>SO-2014</t>
  </si>
  <si>
    <t>P300</t>
  </si>
  <si>
    <t>SO-2015</t>
  </si>
  <si>
    <t>E07</t>
  </si>
  <si>
    <t>SO-2016</t>
  </si>
  <si>
    <t>E08</t>
  </si>
  <si>
    <t>SO-2017</t>
  </si>
  <si>
    <t>P401</t>
  </si>
  <si>
    <t>SO-2018</t>
  </si>
  <si>
    <t>SO-2019</t>
  </si>
  <si>
    <t>SO-2020</t>
  </si>
  <si>
    <t>E05</t>
  </si>
  <si>
    <t>SO-2021</t>
  </si>
  <si>
    <t>P102</t>
  </si>
  <si>
    <t>SO-2022</t>
  </si>
  <si>
    <t>SO-2023</t>
  </si>
  <si>
    <t>SO-2024</t>
  </si>
  <si>
    <t>E06</t>
  </si>
  <si>
    <t>SO-2025</t>
  </si>
  <si>
    <t>SO-2026</t>
  </si>
  <si>
    <t>SO-2027</t>
  </si>
  <si>
    <t>P100</t>
  </si>
  <si>
    <t>SO-2028</t>
  </si>
  <si>
    <t>P999</t>
  </si>
  <si>
    <t>SO-2029</t>
  </si>
  <si>
    <t>SO-2030</t>
  </si>
  <si>
    <t>SO-2031</t>
  </si>
  <si>
    <t>SO-2032</t>
  </si>
  <si>
    <t>SO-2033</t>
  </si>
  <si>
    <t>SO-2034</t>
  </si>
  <si>
    <t>SO-2035</t>
  </si>
  <si>
    <t>SO-2036</t>
  </si>
  <si>
    <t>SO-2037</t>
  </si>
  <si>
    <t>SO-2038</t>
  </si>
  <si>
    <t>SO-2039</t>
  </si>
  <si>
    <t>SO-2040</t>
  </si>
  <si>
    <t>SO-2041</t>
  </si>
  <si>
    <t>E98</t>
  </si>
  <si>
    <t>SO-2042</t>
  </si>
  <si>
    <t>SO-2043</t>
  </si>
  <si>
    <t>SO-2044</t>
  </si>
  <si>
    <t>SO-2045</t>
  </si>
  <si>
    <t>SO-2046</t>
  </si>
  <si>
    <t>SO-2047</t>
  </si>
  <si>
    <t>SO-2048</t>
  </si>
  <si>
    <t>SO-2049</t>
  </si>
  <si>
    <t>SO-2050</t>
  </si>
  <si>
    <t>SO-2051</t>
  </si>
  <si>
    <t>SO-2052</t>
  </si>
  <si>
    <t>SO-2053</t>
  </si>
  <si>
    <t>SO-2054</t>
  </si>
  <si>
    <t>SO-2055</t>
  </si>
  <si>
    <t>Employee Lookup Table</t>
  </si>
  <si>
    <t>Marcus Lee</t>
  </si>
  <si>
    <t>North</t>
  </si>
  <si>
    <t>Fatima Bello</t>
  </si>
  <si>
    <t>South</t>
  </si>
  <si>
    <t>Han Sooyoung</t>
  </si>
  <si>
    <t>East</t>
  </si>
  <si>
    <t>Isabella Cruz</t>
  </si>
  <si>
    <t>West</t>
  </si>
  <si>
    <t>David Osei</t>
  </si>
  <si>
    <t>Priya Nair</t>
  </si>
  <si>
    <t>Tom Fitzgerald</t>
  </si>
  <si>
    <t>Aiko Yamamoto</t>
  </si>
  <si>
    <t>Product Lookup Table</t>
  </si>
  <si>
    <t>Wireless Mouse</t>
  </si>
  <si>
    <t>Electronics</t>
  </si>
  <si>
    <t>Mechanical Keyboard</t>
  </si>
  <si>
    <t>USB-C Hub</t>
  </si>
  <si>
    <t>Noise-Cancelling Headphones</t>
  </si>
  <si>
    <t>Standing Desk</t>
  </si>
  <si>
    <t>Furniture</t>
  </si>
  <si>
    <t>Ergonomic Chair</t>
  </si>
  <si>
    <t>Monitor Arm</t>
  </si>
  <si>
    <t>Sticky Note Pack</t>
  </si>
  <si>
    <t>Stationery</t>
  </si>
  <si>
    <t>Fountain Pen Set</t>
  </si>
  <si>
    <t>Desk Planner</t>
  </si>
  <si>
    <t>P400</t>
  </si>
  <si>
    <t>Project Tracker License</t>
  </si>
  <si>
    <t>Software</t>
  </si>
  <si>
    <t>Design Suite License</t>
  </si>
  <si>
    <t>Assignment: Lookups, PivotTables &amp; PivotCharts</t>
  </si>
  <si>
    <t>Work through the parts in order. Part 1 happens on the 'Orders' tab. Parts 2–3 are built directly in Excel using the Insert menu — there's nothing to type into a cell for those.</t>
  </si>
  <si>
    <t>Part 1 — Lookups (Orders tab, columns F–K)</t>
  </si>
  <si>
    <t>In column F (Rep Name), look up the Rep ID (column C) in the Employee Lookup table and return the matching name. If the Rep ID doesn't exist, show 'Rep Not Found' instead of an error.</t>
  </si>
  <si>
    <t>In column G (Region), do the same lookup but return the Region column instead.</t>
  </si>
  <si>
    <t>Part 2 — PivotTable</t>
  </si>
  <si>
    <t>Drag Line Total into Values (it should default to Sum of Line Total). Format the values as currency.</t>
  </si>
  <si>
    <t>Add Quantity into Values as a second field (Sum of Quantity), so the Pivot shows both revenue and units sold per Region/Category combination.</t>
  </si>
  <si>
    <t>Rename the PivotTable sheet to 'Revenue Pivot'.</t>
  </si>
  <si>
    <t>Part 3 — PivotChart</t>
  </si>
  <si>
    <t>Move the chart to its own sheet named 'Revenue Chart'.</t>
  </si>
  <si>
    <t>USE XLOOKUP</t>
  </si>
  <si>
    <t>In column J (Unit Price), use VLOOKUP the same way to pull the Unit Price.</t>
  </si>
  <si>
    <t>From the Orders table insert a PivotTable on a new worksheet.</t>
  </si>
  <si>
    <t>Hint: Insert &gt; PivotTable</t>
  </si>
  <si>
    <t>In column H (Product Name), look up the Product Code (column D) in the Product Lookup table using INDEX/MATCH and return the Product Name. Show 'Product Not Found' on no match (Use IFERROR()).</t>
  </si>
  <si>
    <t>In column I (Category), use VLOOKUP to pull the Category (Exact Match). Use IFERROR() if necessary</t>
  </si>
  <si>
    <t>In column K (Line Total), calculate Quantity × Unit Price. If Unit Price is text (a 'Not Found' message), this should not error, let it show as 0 instead.</t>
  </si>
  <si>
    <t>Hint: =IF(ISNUMBER(J5),E5*J5, 0)</t>
  </si>
  <si>
    <t>Create a chart that shows both Revenue and Quantity sold by Region and Category</t>
  </si>
  <si>
    <t>Hint: PivotTable Analyze/Options tab &gt; PivotChart. USE COMBO CHART AND MAKE SUM OF QUANTITY A LINE CHART IN THE SECONDARY AXIS (check the box)</t>
  </si>
  <si>
    <t>Add a chart title ('Revenue by Region and Category').</t>
  </si>
  <si>
    <t>In a text box or cell note on the chart sheet, write one sentence identifying the strongest region and the strongest product category by revenue and quantity sold.</t>
  </si>
  <si>
    <t>Drag Region and category into Rows.</t>
  </si>
  <si>
    <t>Row Labels</t>
  </si>
  <si>
    <t>Region Not Found</t>
  </si>
  <si>
    <t>Grand Total</t>
  </si>
  <si>
    <t>Sum of Line Total</t>
  </si>
  <si>
    <t>Sum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</si>
</sst>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m/dd/yyyy"/>
    <numFmt numFmtId="165" formatCode="\$#,##0.00"/>
    <numFmt numFmtId="166" formatCode="_-[$$-409]* #,##0.00_ ;_-[$$-409]* \-#,##0.00\ ;_-[$$-409]* &quot;-&quot;??_ ;_-@_ "/>
  </numFmts>
  <fonts count="10">
    <font>
      <sz val="11"/>
      <color theme="1"/>
      <name val="Calibri"/>
      <family val="2"/>
      <scheme val="minor"/>
    </font>
    <font>
      <b/>
      <sz val="18"/>
      <color rgb="FF0F2E24"/>
      <name val="Cambria"/>
    </font>
    <font>
      <i/>
      <sz val="10"/>
      <color rgb="FF595959"/>
      <name val="Calibri"/>
    </font>
    <font>
      <b/>
      <sz val="11"/>
      <color rgb="FFFFFFFF"/>
      <name val="Cambria"/>
    </font>
    <font>
      <sz val="11"/>
      <name val="Calibri"/>
    </font>
    <font>
      <b/>
      <sz val="13"/>
      <color rgb="FF0F2E24"/>
      <name val="Cambria"/>
    </font>
    <font>
      <b/>
      <sz val="11"/>
      <name val="Calibri"/>
    </font>
    <font>
      <i/>
      <sz val="10"/>
      <color rgb="FF6B6B6B"/>
      <name val="Calibri"/>
    </font>
    <font>
      <sz val="11"/>
      <name val="Calibri"/>
      <family val="2"/>
    </font>
    <font>
      <i/>
      <sz val="10"/>
      <color rgb="FF6B6B6B"/>
      <name val="Calibri"/>
      <family val="2"/>
    </font>
  </fonts>
  <fills count="6">
    <fill>
      <patternFill patternType="none"/>
    </fill>
    <fill>
      <patternFill patternType="gray125"/>
    </fill>
    <fill>
      <patternFill patternType="solid">
        <fgColor rgb="FF1B4D3E"/>
      </patternFill>
    </fill>
    <fill>
      <patternFill patternType="solid">
        <fgColor rgb="FFF2F2F2"/>
      </patternFill>
    </fill>
    <fill>
      <patternFill patternType="solid">
        <fgColor rgb="FFFCEFC7"/>
      </patternFill>
    </fill>
    <fill>
      <patternFill patternType="solid">
        <fgColor theme="0"/>
        <bgColor indexed="64"/>
      </patternFill>
    </fill>
  </fills>
  <borders count="10">
    <border>
      <left/>
      <right/>
      <top/>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style="thin">
        <color rgb="FFBFBFBF"/>
      </right>
      <top/>
      <bottom style="thin">
        <color rgb="FFBFBFBF"/>
      </bottom>
      <diagonal/>
    </border>
    <border>
      <left style="thin">
        <color rgb="FFBFBFBF"/>
      </left>
      <right style="thin">
        <color rgb="FFBFBFBF"/>
      </right>
      <top/>
      <bottom style="thin">
        <color rgb="FFBFBFBF"/>
      </bottom>
      <diagonal/>
    </border>
    <border>
      <left style="thin">
        <color rgb="FFBFBFBF"/>
      </left>
      <right/>
      <top/>
      <bottom style="thin">
        <color rgb="FFBFBFBF"/>
      </bottom>
      <diagonal/>
    </border>
    <border>
      <left/>
      <right style="thin">
        <color rgb="FFBFBFBF"/>
      </right>
      <top style="thin">
        <color rgb="FFBFBFBF"/>
      </top>
      <bottom/>
      <diagonal/>
    </border>
    <border>
      <left style="thin">
        <color rgb="FFBFBFBF"/>
      </left>
      <right style="thin">
        <color rgb="FFBFBFBF"/>
      </right>
      <top style="thin">
        <color rgb="FFBFBFBF"/>
      </top>
      <bottom/>
      <diagonal/>
    </border>
    <border>
      <left style="thin">
        <color rgb="FFBFBFBF"/>
      </left>
      <right/>
      <top style="thin">
        <color rgb="FFBFBFBF"/>
      </top>
      <bottom/>
      <diagonal/>
    </border>
  </borders>
  <cellStyleXfs count="1">
    <xf numFmtId="0" fontId="0" fillId="0" borderId="0"/>
  </cellStyleXfs>
  <cellXfs count="39">
    <xf numFmtId="0" fontId="0" fillId="0" borderId="0" xfId="0"/>
    <xf numFmtId="0" fontId="4" fillId="0" borderId="1" xfId="0" applyFont="1" applyBorder="1"/>
    <xf numFmtId="164" fontId="4" fillId="0" borderId="1" xfId="0" applyNumberFormat="1" applyFont="1" applyBorder="1"/>
    <xf numFmtId="0" fontId="4" fillId="3" borderId="1" xfId="0" applyFont="1" applyFill="1" applyBorder="1"/>
    <xf numFmtId="0" fontId="3" fillId="2" borderId="1" xfId="0" applyFont="1" applyFill="1" applyBorder="1" applyAlignment="1">
      <alignment horizontal="center"/>
    </xf>
    <xf numFmtId="165" fontId="4" fillId="3" borderId="1" xfId="0" applyNumberFormat="1" applyFont="1" applyFill="1" applyBorder="1"/>
    <xf numFmtId="165" fontId="4" fillId="0" borderId="1" xfId="0" applyNumberFormat="1" applyFont="1" applyBorder="1"/>
    <xf numFmtId="0" fontId="6" fillId="0" borderId="0" xfId="0" applyFont="1" applyAlignment="1">
      <alignment horizontal="center" vertical="top"/>
    </xf>
    <xf numFmtId="0" fontId="4" fillId="0" borderId="0" xfId="0" applyFont="1" applyAlignment="1">
      <alignment vertical="top" wrapText="1"/>
    </xf>
    <xf numFmtId="0" fontId="7" fillId="0" borderId="0" xfId="0" applyFont="1" applyAlignment="1">
      <alignment vertical="top" wrapText="1"/>
    </xf>
    <xf numFmtId="0" fontId="8" fillId="0" borderId="0" xfId="0" applyFont="1" applyAlignment="1">
      <alignment vertical="top" wrapText="1"/>
    </xf>
    <xf numFmtId="0" fontId="9" fillId="0" borderId="0" xfId="0" applyFont="1" applyAlignment="1">
      <alignment vertical="top" wrapText="1"/>
    </xf>
    <xf numFmtId="166" fontId="4" fillId="0" borderId="1" xfId="0" applyNumberFormat="1" applyFont="1" applyBorder="1"/>
    <xf numFmtId="0" fontId="0" fillId="0" borderId="0" xfId="0" pivotButton="1"/>
    <xf numFmtId="0" fontId="0" fillId="0" borderId="0" xfId="0" applyAlignment="1">
      <alignment horizontal="left"/>
    </xf>
    <xf numFmtId="0" fontId="0" fillId="0" borderId="0" xfId="0" applyAlignment="1">
      <alignment horizontal="left" indent="1"/>
    </xf>
    <xf numFmtId="166" fontId="0" fillId="0" borderId="0" xfId="0" applyNumberFormat="1"/>
    <xf numFmtId="0" fontId="4" fillId="0" borderId="2" xfId="0" applyFont="1" applyBorder="1"/>
    <xf numFmtId="166" fontId="4" fillId="0" borderId="3" xfId="0" applyNumberFormat="1" applyFont="1" applyBorder="1"/>
    <xf numFmtId="0" fontId="3" fillId="2" borderId="4"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4" fillId="0" borderId="7" xfId="0" applyFont="1" applyBorder="1"/>
    <xf numFmtId="164" fontId="4" fillId="0" borderId="8" xfId="0" applyNumberFormat="1" applyFont="1" applyBorder="1"/>
    <xf numFmtId="0" fontId="4" fillId="0" borderId="8" xfId="0" applyFont="1" applyBorder="1"/>
    <xf numFmtId="166" fontId="4" fillId="0" borderId="8" xfId="0" applyNumberFormat="1" applyFont="1" applyBorder="1"/>
    <xf numFmtId="166" fontId="4" fillId="0" borderId="9" xfId="0" applyNumberFormat="1" applyFont="1" applyBorder="1"/>
    <xf numFmtId="0" fontId="4" fillId="5" borderId="2" xfId="0" applyFont="1" applyFill="1" applyBorder="1"/>
    <xf numFmtId="164" fontId="4" fillId="5" borderId="1" xfId="0" applyNumberFormat="1" applyFont="1" applyFill="1" applyBorder="1"/>
    <xf numFmtId="0" fontId="4" fillId="5" borderId="1" xfId="0" applyFont="1" applyFill="1" applyBorder="1"/>
    <xf numFmtId="166" fontId="4" fillId="5" borderId="1" xfId="0" applyNumberFormat="1" applyFont="1" applyFill="1" applyBorder="1"/>
    <xf numFmtId="166" fontId="4" fillId="5" borderId="3" xfId="0" applyNumberFormat="1" applyFont="1" applyFill="1" applyBorder="1"/>
    <xf numFmtId="0" fontId="0" fillId="5" borderId="0" xfId="0" applyFill="1"/>
    <xf numFmtId="0" fontId="2" fillId="0" borderId="0" xfId="0" applyFont="1"/>
    <xf numFmtId="0" fontId="0" fillId="0" borderId="0" xfId="0"/>
    <xf numFmtId="0" fontId="1" fillId="0" borderId="0" xfId="0" applyFont="1"/>
    <xf numFmtId="0" fontId="5" fillId="4" borderId="1" xfId="0" applyFont="1" applyFill="1" applyBorder="1"/>
    <xf numFmtId="0" fontId="0" fillId="0" borderId="1" xfId="0" applyBorder="1"/>
    <xf numFmtId="0" fontId="2" fillId="0" borderId="0" xfId="0" applyFont="1" applyAlignment="1">
      <alignment vertical="top" wrapText="1"/>
    </xf>
  </cellXfs>
  <cellStyles count="1">
    <cellStyle name="Normal" xfId="0" builtinId="0"/>
  </cellStyles>
  <dxfs count="16">
    <dxf>
      <font>
        <b val="0"/>
        <i val="0"/>
        <strike val="0"/>
        <condense val="0"/>
        <extend val="0"/>
        <outline val="0"/>
        <shadow val="0"/>
        <u val="none"/>
        <vertAlign val="baseline"/>
        <sz val="11"/>
        <color auto="1"/>
        <name val="Calibri"/>
        <scheme val="none"/>
      </font>
      <numFmt numFmtId="166" formatCode="_-[$$-409]* #,##0.00_ ;_-[$$-409]* \-#,##0.00\ ;_-[$$-409]* &quot;-&quot;??_ ;_-@_ "/>
      <border diagonalUp="0" diagonalDown="0">
        <left style="thin">
          <color rgb="FFBFBFBF"/>
        </left>
        <right/>
        <top style="thin">
          <color rgb="FFBFBFBF"/>
        </top>
        <bottom style="thin">
          <color rgb="FFBFBFBF"/>
        </bottom>
        <vertical/>
        <horizontal/>
      </border>
    </dxf>
    <dxf>
      <font>
        <b val="0"/>
        <i val="0"/>
        <strike val="0"/>
        <condense val="0"/>
        <extend val="0"/>
        <outline val="0"/>
        <shadow val="0"/>
        <u val="none"/>
        <vertAlign val="baseline"/>
        <sz val="11"/>
        <color auto="1"/>
        <name val="Calibri"/>
        <scheme val="none"/>
      </font>
      <numFmt numFmtId="166" formatCode="_-[$$-409]* #,##0.00_ ;_-[$$-409]* \-#,##0.00\ ;_-[$$-409]* &quot;-&quot;??_ ;_-@_ "/>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1"/>
        <color auto="1"/>
        <name val="Calibri"/>
        <scheme val="none"/>
      </font>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1"/>
        <color auto="1"/>
        <name val="Calibri"/>
        <scheme val="none"/>
      </font>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1"/>
        <color auto="1"/>
        <name val="Calibri"/>
        <scheme val="none"/>
      </font>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1"/>
        <color auto="1"/>
        <name val="Calibri"/>
        <scheme val="none"/>
      </font>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1"/>
        <color auto="1"/>
        <name val="Calibri"/>
        <scheme val="none"/>
      </font>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1"/>
        <color auto="1"/>
        <name val="Calibri"/>
        <scheme val="none"/>
      </font>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1"/>
        <color auto="1"/>
        <name val="Calibri"/>
        <scheme val="none"/>
      </font>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1"/>
        <color auto="1"/>
        <name val="Calibri"/>
        <scheme val="none"/>
      </font>
      <numFmt numFmtId="164" formatCode="mm/dd/yyyy"/>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1"/>
        <color auto="1"/>
        <name val="Calibri"/>
        <scheme val="none"/>
      </font>
      <border diagonalUp="0" diagonalDown="0">
        <left/>
        <right style="thin">
          <color rgb="FFBFBFBF"/>
        </right>
        <top style="thin">
          <color rgb="FFBFBFBF"/>
        </top>
        <bottom style="thin">
          <color rgb="FFBFBFBF"/>
        </bottom>
        <vertical/>
        <horizontal/>
      </border>
    </dxf>
    <dxf>
      <border outline="0">
        <top style="thin">
          <color rgb="FFBFBFBF"/>
        </top>
      </border>
    </dxf>
    <dxf>
      <border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1"/>
        <color auto="1"/>
        <name val="Calibri"/>
        <scheme val="none"/>
      </font>
    </dxf>
    <dxf>
      <border outline="0">
        <bottom style="thin">
          <color rgb="FFBFBFBF"/>
        </bottom>
      </border>
    </dxf>
    <dxf>
      <font>
        <b/>
        <i val="0"/>
        <strike val="0"/>
        <condense val="0"/>
        <extend val="0"/>
        <outline val="0"/>
        <shadow val="0"/>
        <u val="none"/>
        <vertAlign val="baseline"/>
        <sz val="11"/>
        <color rgb="FFFFFFFF"/>
        <name val="Cambria"/>
        <scheme val="none"/>
      </font>
      <fill>
        <patternFill patternType="solid">
          <fgColor indexed="64"/>
          <bgColor rgb="FF1B4D3E"/>
        </patternFill>
      </fill>
      <alignment horizontal="center" vertical="center" textRotation="0" wrapText="1" indent="0" justifyLastLine="0" shrinkToFit="0" readingOrder="0"/>
      <border diagonalUp="0" diagonalDown="0" outline="0">
        <left style="thin">
          <color rgb="FFBFBFBF"/>
        </left>
        <right style="thin">
          <color rgb="FFBFBFBF"/>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[FALADE REBECCA O.'s Project.xlsx]Revenue Pivot!PivotTable1</c:name>
    <c:fmtId val="2"/>
  </c:pivotSource>
  <c:chart>
    <c:title>
      <c:tx>
        <c:rich>
          <a:bodyPr rot="0" spcFirstLastPara="1" vertOverflow="ellipsis" vert="horz" wrap="square" anchor="ctr" anchorCtr="1"/>
          <a:lstStyle/>
          <a:p>
            <a:pPr>
              <a:defRPr sz="1600" b="1" i="0" u="none" strike="noStrike" kern="1200" spc="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r>
              <a:rPr lang="en-US" sz="1600" b="1"/>
              <a:t>Revenue by Region and Category</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w="15875" cap="rnd">
            <a:solidFill>
              <a:schemeClr val="bg1"/>
            </a:solidFill>
            <a:round/>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58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15875" cap="rnd">
            <a:solidFill>
              <a:srgbClr val="C00000"/>
            </a:solidFill>
            <a:round/>
          </a:ln>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7297101508037553E-2"/>
          <c:y val="8.875389408099689E-2"/>
          <c:w val="0.70522701655084052"/>
          <c:h val="0.63441852478720528"/>
        </c:manualLayout>
      </c:layout>
      <c:barChart>
        <c:barDir val="col"/>
        <c:grouping val="clustered"/>
        <c:varyColors val="0"/>
        <c:ser>
          <c:idx val="0"/>
          <c:order val="0"/>
          <c:tx>
            <c:strRef>
              <c:f>'Revenue Pivot'!$B$1</c:f>
              <c:strCache>
                <c:ptCount val="1"/>
                <c:pt idx="0">
                  <c:v>Sum of Line Total</c:v>
                </c:pt>
              </c:strCache>
            </c:strRef>
          </c:tx>
          <c:spPr>
            <a:solidFill>
              <a:schemeClr val="accent1"/>
            </a:solidFill>
            <a:ln>
              <a:noFill/>
            </a:ln>
            <a:effectLst/>
          </c:spPr>
          <c:invertIfNegative val="0"/>
          <c:cat>
            <c:multiLvlStrRef>
              <c:f>'Revenue Pivot'!$A$2:$A$23</c:f>
              <c:multiLvlStrCache>
                <c:ptCount val="16"/>
                <c:lvl>
                  <c:pt idx="0">
                    <c:v>Electronics</c:v>
                  </c:pt>
                  <c:pt idx="1">
                    <c:v>Furniture</c:v>
                  </c:pt>
                  <c:pt idx="2">
                    <c:v>Software</c:v>
                  </c:pt>
                  <c:pt idx="3">
                    <c:v>Stationery</c:v>
                  </c:pt>
                  <c:pt idx="4">
                    <c:v>Electronics</c:v>
                  </c:pt>
                  <c:pt idx="5">
                    <c:v>Software</c:v>
                  </c:pt>
                  <c:pt idx="6">
                    <c:v>Stationery</c:v>
                  </c:pt>
                  <c:pt idx="7">
                    <c:v>Furniture</c:v>
                  </c:pt>
                  <c:pt idx="8">
                    <c:v>Stationery</c:v>
                  </c:pt>
                  <c:pt idx="9">
                    <c:v>Electronics</c:v>
                  </c:pt>
                  <c:pt idx="10">
                    <c:v>Furniture</c:v>
                  </c:pt>
                  <c:pt idx="11">
                    <c:v>Software</c:v>
                  </c:pt>
                  <c:pt idx="12">
                    <c:v>Stationery</c:v>
                  </c:pt>
                  <c:pt idx="13">
                    <c:v>Electronics</c:v>
                  </c:pt>
                  <c:pt idx="14">
                    <c:v>Furniture</c:v>
                  </c:pt>
                  <c:pt idx="15">
                    <c:v>Stationery</c:v>
                  </c:pt>
                </c:lvl>
                <c:lvl>
                  <c:pt idx="0">
                    <c:v>East</c:v>
                  </c:pt>
                  <c:pt idx="4">
                    <c:v>North</c:v>
                  </c:pt>
                  <c:pt idx="7">
                    <c:v>Region Not Found</c:v>
                  </c:pt>
                  <c:pt idx="9">
                    <c:v>South</c:v>
                  </c:pt>
                  <c:pt idx="13">
                    <c:v>West</c:v>
                  </c:pt>
                </c:lvl>
              </c:multiLvlStrCache>
            </c:multiLvlStrRef>
          </c:cat>
          <c:val>
            <c:numRef>
              <c:f>'Revenue Pivot'!$B$2:$B$23</c:f>
              <c:numCache>
                <c:formatCode>_-[$$-409]* #,##0.00_ ;_-[$$-409]* \-#,##0.00\ ;_-[$$-409]* "-"??_ ;_-@_ </c:formatCode>
                <c:ptCount val="16"/>
                <c:pt idx="0">
                  <c:v>2226.9700000000003</c:v>
                </c:pt>
                <c:pt idx="1">
                  <c:v>6603.75</c:v>
                </c:pt>
                <c:pt idx="2">
                  <c:v>3383</c:v>
                </c:pt>
                <c:pt idx="3">
                  <c:v>121.25</c:v>
                </c:pt>
                <c:pt idx="4">
                  <c:v>3197.34</c:v>
                </c:pt>
                <c:pt idx="5">
                  <c:v>3383</c:v>
                </c:pt>
                <c:pt idx="6">
                  <c:v>363.75</c:v>
                </c:pt>
                <c:pt idx="7">
                  <c:v>1745</c:v>
                </c:pt>
                <c:pt idx="8">
                  <c:v>70</c:v>
                </c:pt>
                <c:pt idx="9">
                  <c:v>2383.3000000000002</c:v>
                </c:pt>
                <c:pt idx="10">
                  <c:v>411.25</c:v>
                </c:pt>
                <c:pt idx="11">
                  <c:v>1194</c:v>
                </c:pt>
                <c:pt idx="12">
                  <c:v>458.75</c:v>
                </c:pt>
                <c:pt idx="13">
                  <c:v>948.42</c:v>
                </c:pt>
                <c:pt idx="14">
                  <c:v>8877.75</c:v>
                </c:pt>
                <c:pt idx="15">
                  <c:v>300.75</c:v>
                </c:pt>
              </c:numCache>
            </c:numRef>
          </c:val>
          <c:extLst>
            <c:ext xmlns:c16="http://schemas.microsoft.com/office/drawing/2014/chart" uri="{C3380CC4-5D6E-409C-BE32-E72D297353CC}">
              <c16:uniqueId val="{00000000-F78F-471E-8745-D02CE835F940}"/>
            </c:ext>
          </c:extLst>
        </c:ser>
        <c:dLbls>
          <c:showLegendKey val="0"/>
          <c:showVal val="0"/>
          <c:showCatName val="0"/>
          <c:showSerName val="0"/>
          <c:showPercent val="0"/>
          <c:showBubbleSize val="0"/>
        </c:dLbls>
        <c:gapWidth val="40"/>
        <c:overlap val="-27"/>
        <c:axId val="551526800"/>
        <c:axId val="551531024"/>
      </c:barChart>
      <c:lineChart>
        <c:grouping val="standard"/>
        <c:varyColors val="0"/>
        <c:ser>
          <c:idx val="1"/>
          <c:order val="1"/>
          <c:tx>
            <c:strRef>
              <c:f>'Revenue Pivot'!$C$1</c:f>
              <c:strCache>
                <c:ptCount val="1"/>
                <c:pt idx="0">
                  <c:v>Sum of Quantity</c:v>
                </c:pt>
              </c:strCache>
            </c:strRef>
          </c:tx>
          <c:spPr>
            <a:ln w="15875" cap="rnd">
              <a:solidFill>
                <a:srgbClr val="C00000"/>
              </a:solidFill>
              <a:round/>
            </a:ln>
            <a:effectLst/>
          </c:spPr>
          <c:marker>
            <c:symbol val="none"/>
          </c:marker>
          <c:cat>
            <c:multiLvlStrRef>
              <c:f>'Revenue Pivot'!$A$2:$A$23</c:f>
              <c:multiLvlStrCache>
                <c:ptCount val="16"/>
                <c:lvl>
                  <c:pt idx="0">
                    <c:v>Electronics</c:v>
                  </c:pt>
                  <c:pt idx="1">
                    <c:v>Furniture</c:v>
                  </c:pt>
                  <c:pt idx="2">
                    <c:v>Software</c:v>
                  </c:pt>
                  <c:pt idx="3">
                    <c:v>Stationery</c:v>
                  </c:pt>
                  <c:pt idx="4">
                    <c:v>Electronics</c:v>
                  </c:pt>
                  <c:pt idx="5">
                    <c:v>Software</c:v>
                  </c:pt>
                  <c:pt idx="6">
                    <c:v>Stationery</c:v>
                  </c:pt>
                  <c:pt idx="7">
                    <c:v>Furniture</c:v>
                  </c:pt>
                  <c:pt idx="8">
                    <c:v>Stationery</c:v>
                  </c:pt>
                  <c:pt idx="9">
                    <c:v>Electronics</c:v>
                  </c:pt>
                  <c:pt idx="10">
                    <c:v>Furniture</c:v>
                  </c:pt>
                  <c:pt idx="11">
                    <c:v>Software</c:v>
                  </c:pt>
                  <c:pt idx="12">
                    <c:v>Stationery</c:v>
                  </c:pt>
                  <c:pt idx="13">
                    <c:v>Electronics</c:v>
                  </c:pt>
                  <c:pt idx="14">
                    <c:v>Furniture</c:v>
                  </c:pt>
                  <c:pt idx="15">
                    <c:v>Stationery</c:v>
                  </c:pt>
                </c:lvl>
                <c:lvl>
                  <c:pt idx="0">
                    <c:v>East</c:v>
                  </c:pt>
                  <c:pt idx="4">
                    <c:v>North</c:v>
                  </c:pt>
                  <c:pt idx="7">
                    <c:v>Region Not Found</c:v>
                  </c:pt>
                  <c:pt idx="9">
                    <c:v>South</c:v>
                  </c:pt>
                  <c:pt idx="13">
                    <c:v>West</c:v>
                  </c:pt>
                </c:lvl>
              </c:multiLvlStrCache>
            </c:multiLvlStrRef>
          </c:cat>
          <c:val>
            <c:numRef>
              <c:f>'Revenue Pivot'!$C$2:$C$23</c:f>
              <c:numCache>
                <c:formatCode>General</c:formatCode>
                <c:ptCount val="16"/>
                <c:pt idx="0">
                  <c:v>41</c:v>
                </c:pt>
                <c:pt idx="1">
                  <c:v>56</c:v>
                </c:pt>
                <c:pt idx="2">
                  <c:v>17</c:v>
                </c:pt>
                <c:pt idx="3">
                  <c:v>13</c:v>
                </c:pt>
                <c:pt idx="4">
                  <c:v>31</c:v>
                </c:pt>
                <c:pt idx="5">
                  <c:v>17</c:v>
                </c:pt>
                <c:pt idx="6">
                  <c:v>33</c:v>
                </c:pt>
                <c:pt idx="7">
                  <c:v>5</c:v>
                </c:pt>
                <c:pt idx="8">
                  <c:v>5</c:v>
                </c:pt>
                <c:pt idx="9">
                  <c:v>51</c:v>
                </c:pt>
                <c:pt idx="10">
                  <c:v>7</c:v>
                </c:pt>
                <c:pt idx="11">
                  <c:v>6</c:v>
                </c:pt>
                <c:pt idx="12">
                  <c:v>35</c:v>
                </c:pt>
                <c:pt idx="13">
                  <c:v>19</c:v>
                </c:pt>
                <c:pt idx="14">
                  <c:v>40</c:v>
                </c:pt>
                <c:pt idx="15">
                  <c:v>32</c:v>
                </c:pt>
              </c:numCache>
            </c:numRef>
          </c:val>
          <c:smooth val="0"/>
          <c:extLst>
            <c:ext xmlns:c16="http://schemas.microsoft.com/office/drawing/2014/chart" uri="{C3380CC4-5D6E-409C-BE32-E72D297353CC}">
              <c16:uniqueId val="{00000001-F78F-471E-8745-D02CE835F940}"/>
            </c:ext>
          </c:extLst>
        </c:ser>
        <c:dLbls>
          <c:showLegendKey val="0"/>
          <c:showVal val="0"/>
          <c:showCatName val="0"/>
          <c:showSerName val="0"/>
          <c:showPercent val="0"/>
          <c:showBubbleSize val="0"/>
        </c:dLbls>
        <c:marker val="1"/>
        <c:smooth val="0"/>
        <c:axId val="551271920"/>
        <c:axId val="551271216"/>
      </c:lineChart>
      <c:catAx>
        <c:axId val="551526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endParaRPr lang="en-US"/>
          </a:p>
        </c:txPr>
        <c:crossAx val="551531024"/>
        <c:crosses val="autoZero"/>
        <c:auto val="1"/>
        <c:lblAlgn val="ctr"/>
        <c:lblOffset val="100"/>
        <c:noMultiLvlLbl val="0"/>
      </c:catAx>
      <c:valAx>
        <c:axId val="551531024"/>
        <c:scaling>
          <c:orientation val="minMax"/>
        </c:scaling>
        <c:delete val="0"/>
        <c:axPos val="l"/>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endParaRPr lang="en-US"/>
          </a:p>
        </c:txPr>
        <c:crossAx val="551526800"/>
        <c:crosses val="autoZero"/>
        <c:crossBetween val="between"/>
      </c:valAx>
      <c:valAx>
        <c:axId val="551271216"/>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endParaRPr lang="en-US"/>
          </a:p>
        </c:txPr>
        <c:crossAx val="551271920"/>
        <c:crosses val="max"/>
        <c:crossBetween val="between"/>
      </c:valAx>
      <c:catAx>
        <c:axId val="551271920"/>
        <c:scaling>
          <c:orientation val="minMax"/>
        </c:scaling>
        <c:delete val="1"/>
        <c:axPos val="b"/>
        <c:numFmt formatCode="General" sourceLinked="1"/>
        <c:majorTickMark val="out"/>
        <c:minorTickMark val="none"/>
        <c:tickLblPos val="nextTo"/>
        <c:crossAx val="551271216"/>
        <c:crosses val="autoZero"/>
        <c:auto val="1"/>
        <c:lblAlgn val="ctr"/>
        <c:lblOffset val="100"/>
        <c:noMultiLvlLbl val="0"/>
      </c:catAx>
      <c:spPr>
        <a:solidFill>
          <a:schemeClr val="accent6">
            <a:lumMod val="60000"/>
            <a:lumOff val="40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sz="1100">
          <a:solidFill>
            <a:schemeClr val="tx1">
              <a:lumMod val="95000"/>
              <a:lumOff val="5000"/>
            </a:schemeClr>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15</xdr:col>
      <xdr:colOff>104775</xdr:colOff>
      <xdr:row>21</xdr:row>
      <xdr:rowOff>76200</xdr:rowOff>
    </xdr:to>
    <xdr:graphicFrame macro="">
      <xdr:nvGraphicFramePr>
        <xdr:cNvPr id="2" name="Chart 1">
          <a:extLst>
            <a:ext uri="{FF2B5EF4-FFF2-40B4-BE49-F238E27FC236}">
              <a16:creationId xmlns:a16="http://schemas.microsoft.com/office/drawing/2014/main" id="{E6FD1EBD-914F-4E2D-B021-430A261514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114299</xdr:colOff>
      <xdr:row>0</xdr:row>
      <xdr:rowOff>9525</xdr:rowOff>
    </xdr:from>
    <xdr:to>
      <xdr:col>20</xdr:col>
      <xdr:colOff>361950</xdr:colOff>
      <xdr:row>21</xdr:row>
      <xdr:rowOff>76200</xdr:rowOff>
    </xdr:to>
    <xdr:sp macro="" textlink="">
      <xdr:nvSpPr>
        <xdr:cNvPr id="3" name="TextBox 2">
          <a:extLst>
            <a:ext uri="{FF2B5EF4-FFF2-40B4-BE49-F238E27FC236}">
              <a16:creationId xmlns:a16="http://schemas.microsoft.com/office/drawing/2014/main" id="{CD7E869B-0B2F-8FB2-09D3-E814FE4E5213}"/>
            </a:ext>
          </a:extLst>
        </xdr:cNvPr>
        <xdr:cNvSpPr txBox="1"/>
      </xdr:nvSpPr>
      <xdr:spPr>
        <a:xfrm>
          <a:off x="9258299" y="9525"/>
          <a:ext cx="3295651" cy="4067175"/>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400" b="1">
              <a:solidFill>
                <a:schemeClr val="tx1">
                  <a:lumMod val="95000"/>
                  <a:lumOff val="5000"/>
                </a:schemeClr>
              </a:solidFill>
              <a:latin typeface="Times New Roman" panose="02020603050405020304" pitchFamily="18" charset="0"/>
              <a:cs typeface="Times New Roman" panose="02020603050405020304" pitchFamily="18" charset="0"/>
            </a:rPr>
            <a:t>West</a:t>
          </a:r>
          <a:r>
            <a:rPr lang="en-US" sz="1400">
              <a:solidFill>
                <a:schemeClr val="tx1">
                  <a:lumMod val="95000"/>
                  <a:lumOff val="5000"/>
                </a:schemeClr>
              </a:solidFill>
              <a:latin typeface="Times New Roman" panose="02020603050405020304" pitchFamily="18" charset="0"/>
              <a:cs typeface="Times New Roman" panose="02020603050405020304" pitchFamily="18" charset="0"/>
            </a:rPr>
            <a:t> is the strongest</a:t>
          </a:r>
          <a:r>
            <a:rPr lang="en-US" sz="1400" baseline="0">
              <a:solidFill>
                <a:schemeClr val="tx1">
                  <a:lumMod val="95000"/>
                  <a:lumOff val="5000"/>
                </a:schemeClr>
              </a:solidFill>
              <a:latin typeface="Times New Roman" panose="02020603050405020304" pitchFamily="18" charset="0"/>
              <a:cs typeface="Times New Roman" panose="02020603050405020304" pitchFamily="18" charset="0"/>
            </a:rPr>
            <a:t> region by revenue, while </a:t>
          </a:r>
          <a:r>
            <a:rPr lang="en-US" sz="1400" b="1" baseline="0">
              <a:solidFill>
                <a:schemeClr val="tx1">
                  <a:lumMod val="95000"/>
                  <a:lumOff val="5000"/>
                </a:schemeClr>
              </a:solidFill>
              <a:latin typeface="Times New Roman" panose="02020603050405020304" pitchFamily="18" charset="0"/>
              <a:cs typeface="Times New Roman" panose="02020603050405020304" pitchFamily="18" charset="0"/>
            </a:rPr>
            <a:t>Furniture </a:t>
          </a:r>
          <a:r>
            <a:rPr lang="en-US" sz="1400" baseline="0">
              <a:solidFill>
                <a:schemeClr val="tx1">
                  <a:lumMod val="95000"/>
                  <a:lumOff val="5000"/>
                </a:schemeClr>
              </a:solidFill>
              <a:latin typeface="Times New Roman" panose="02020603050405020304" pitchFamily="18" charset="0"/>
              <a:cs typeface="Times New Roman" panose="02020603050405020304" pitchFamily="18" charset="0"/>
            </a:rPr>
            <a:t>is the strongest product category by both revenue and quantity sold</a:t>
          </a:r>
          <a:endParaRPr lang="en-US" sz="1400">
            <a:solidFill>
              <a:schemeClr val="tx1">
                <a:lumMod val="95000"/>
                <a:lumOff val="5000"/>
              </a:schemeClr>
            </a:solidFill>
            <a:latin typeface="Times New Roman" panose="02020603050405020304" pitchFamily="18" charset="0"/>
            <a:cs typeface="Times New Roman" panose="02020603050405020304" pitchFamily="18"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60.728112384262" createdVersion="8" refreshedVersion="8" minRefreshableVersion="3" recordCount="55" xr:uid="{345F4856-1FA0-499C-8257-00FE831F9917}">
  <cacheSource type="worksheet">
    <worksheetSource ref="A4:K59" sheet="Orders"/>
  </cacheSource>
  <cacheFields count="11">
    <cacheField name="Order ID" numFmtId="0">
      <sharedItems/>
    </cacheField>
    <cacheField name="Order Date" numFmtId="164">
      <sharedItems containsSemiMixedTypes="0" containsNonDate="0" containsDate="1" containsString="0" minDate="2024-01-02T00:00:00" maxDate="2024-07-19T00:00:00"/>
    </cacheField>
    <cacheField name="Rep ID" numFmtId="0">
      <sharedItems/>
    </cacheField>
    <cacheField name="Product Code" numFmtId="0">
      <sharedItems/>
    </cacheField>
    <cacheField name="Quantity" numFmtId="0">
      <sharedItems containsSemiMixedTypes="0" containsString="0" containsNumber="1" containsInteger="1" minValue="1" maxValue="15"/>
    </cacheField>
    <cacheField name="Rep Name" numFmtId="0">
      <sharedItems/>
    </cacheField>
    <cacheField name="Region" numFmtId="0">
      <sharedItems count="5">
        <s v="East"/>
        <s v="South"/>
        <s v="North"/>
        <s v="West"/>
        <s v="Region Not Found"/>
      </sharedItems>
    </cacheField>
    <cacheField name="Product Name" numFmtId="0">
      <sharedItems/>
    </cacheField>
    <cacheField name="Category" numFmtId="0">
      <sharedItems count="4">
        <s v="Furniture"/>
        <s v="Stationery"/>
        <s v="Electronics"/>
        <s v="Software"/>
      </sharedItems>
    </cacheField>
    <cacheField name="Unit Price" numFmtId="166">
      <sharedItems containsSemiMixedTypes="0" containsString="0" containsNumber="1" minValue="6.25" maxValue="349"/>
    </cacheField>
    <cacheField name="Line Total" numFmtId="166">
      <sharedItems containsSemiMixedTypes="0" containsString="0" containsNumber="1" minValue="12.5" maxValue="418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5">
  <r>
    <s v="SO-2001"/>
    <d v="2024-03-23T00:00:00"/>
    <s v="E03"/>
    <s v="P202"/>
    <n v="11"/>
    <s v="Han Sooyoung"/>
    <x v="0"/>
    <s v="Monitor Arm"/>
    <x v="0"/>
    <n v="58.75"/>
    <n v="646.25"/>
  </r>
  <r>
    <s v="SO-2002"/>
    <d v="2024-01-13T00:00:00"/>
    <s v="E02"/>
    <s v="P301"/>
    <n v="2"/>
    <s v="Fatima Bello"/>
    <x v="1"/>
    <s v="Fountain Pen Set"/>
    <x v="1"/>
    <n v="18.5"/>
    <n v="37"/>
  </r>
  <r>
    <s v="SO-2003"/>
    <d v="2024-04-03T00:00:00"/>
    <s v="E01"/>
    <s v="P301"/>
    <n v="4"/>
    <s v="Marcus Lee"/>
    <x v="2"/>
    <s v="Fountain Pen Set"/>
    <x v="1"/>
    <n v="18.5"/>
    <n v="74"/>
  </r>
  <r>
    <s v="SO-2004"/>
    <d v="2024-01-10T00:00:00"/>
    <s v="E02"/>
    <s v="P202"/>
    <n v="7"/>
    <s v="Fatima Bello"/>
    <x v="1"/>
    <s v="Monitor Arm"/>
    <x v="0"/>
    <n v="58.75"/>
    <n v="411.25"/>
  </r>
  <r>
    <s v="SO-2005"/>
    <d v="2024-01-18T00:00:00"/>
    <s v="E04"/>
    <s v="P101"/>
    <n v="9"/>
    <s v="Isabella Cruz"/>
    <x v="3"/>
    <s v="Mechanical Keyboard"/>
    <x v="2"/>
    <n v="74.5"/>
    <n v="670.5"/>
  </r>
  <r>
    <s v="SO-2006"/>
    <d v="2024-04-18T00:00:00"/>
    <s v="E01"/>
    <s v="P302"/>
    <n v="2"/>
    <s v="Marcus Lee"/>
    <x v="2"/>
    <s v="Desk Planner"/>
    <x v="1"/>
    <n v="14"/>
    <n v="28"/>
  </r>
  <r>
    <s v="SO-2007"/>
    <d v="2024-02-27T00:00:00"/>
    <s v="E01"/>
    <s v="P302"/>
    <n v="10"/>
    <s v="Marcus Lee"/>
    <x v="2"/>
    <s v="Desk Planner"/>
    <x v="1"/>
    <n v="14"/>
    <n v="140"/>
  </r>
  <r>
    <s v="SO-2008"/>
    <d v="2024-04-11T00:00:00"/>
    <s v="E01"/>
    <s v="P103"/>
    <n v="1"/>
    <s v="Marcus Lee"/>
    <x v="2"/>
    <s v="Noise-Cancelling Headphones"/>
    <x v="2"/>
    <n v="129.99"/>
    <n v="129.99"/>
  </r>
  <r>
    <s v="SO-2009"/>
    <d v="2024-05-22T00:00:00"/>
    <s v="E03"/>
    <s v="P200"/>
    <n v="7"/>
    <s v="Han Sooyoung"/>
    <x v="0"/>
    <s v="Standing Desk"/>
    <x v="0"/>
    <n v="349"/>
    <n v="2443"/>
  </r>
  <r>
    <s v="SO-2010"/>
    <d v="2024-02-06T00:00:00"/>
    <s v="E99"/>
    <s v="P302"/>
    <n v="5"/>
    <s v="Rep Not Found"/>
    <x v="4"/>
    <s v="Desk Planner"/>
    <x v="1"/>
    <n v="14"/>
    <n v="70"/>
  </r>
  <r>
    <s v="SO-2011"/>
    <d v="2024-05-23T00:00:00"/>
    <s v="E03"/>
    <s v="P101"/>
    <n v="10"/>
    <s v="Han Sooyoung"/>
    <x v="0"/>
    <s v="Mechanical Keyboard"/>
    <x v="2"/>
    <n v="74.5"/>
    <n v="745"/>
  </r>
  <r>
    <s v="SO-2012"/>
    <d v="2024-05-26T00:00:00"/>
    <s v="E04"/>
    <s v="P201"/>
    <n v="2"/>
    <s v="Isabella Cruz"/>
    <x v="3"/>
    <s v="Ergonomic Chair"/>
    <x v="0"/>
    <n v="219"/>
    <n v="438"/>
  </r>
  <r>
    <s v="SO-2013"/>
    <d v="2024-05-20T00:00:00"/>
    <s v="E02"/>
    <s v="P302"/>
    <n v="1"/>
    <s v="Fatima Bello"/>
    <x v="1"/>
    <s v="Desk Planner"/>
    <x v="1"/>
    <n v="14"/>
    <n v="14"/>
  </r>
  <r>
    <s v="SO-2014"/>
    <d v="2024-06-07T00:00:00"/>
    <s v="E04"/>
    <s v="P300"/>
    <n v="11"/>
    <s v="Isabella Cruz"/>
    <x v="3"/>
    <s v="Sticky Note Pack"/>
    <x v="1"/>
    <n v="6.25"/>
    <n v="68.75"/>
  </r>
  <r>
    <s v="SO-2015"/>
    <d v="2024-05-16T00:00:00"/>
    <s v="E07"/>
    <s v="P201"/>
    <n v="8"/>
    <s v="Tom Fitzgerald"/>
    <x v="0"/>
    <s v="Ergonomic Chair"/>
    <x v="0"/>
    <n v="219"/>
    <n v="1752"/>
  </r>
  <r>
    <s v="SO-2016"/>
    <d v="2024-05-29T00:00:00"/>
    <s v="E08"/>
    <s v="P201"/>
    <n v="5"/>
    <s v="Aiko Yamamoto"/>
    <x v="3"/>
    <s v="Ergonomic Chair"/>
    <x v="0"/>
    <n v="219"/>
    <n v="1095"/>
  </r>
  <r>
    <s v="SO-2017"/>
    <d v="2024-03-04T00:00:00"/>
    <s v="E03"/>
    <s v="P401"/>
    <n v="13"/>
    <s v="Han Sooyoung"/>
    <x v="0"/>
    <s v="Design Suite License"/>
    <x v="3"/>
    <n v="199"/>
    <n v="2587"/>
  </r>
  <r>
    <s v="SO-2018"/>
    <d v="2024-03-03T00:00:00"/>
    <s v="E02"/>
    <s v="P302"/>
    <n v="5"/>
    <s v="Fatima Bello"/>
    <x v="1"/>
    <s v="Desk Planner"/>
    <x v="1"/>
    <n v="14"/>
    <n v="70"/>
  </r>
  <r>
    <s v="SO-2019"/>
    <d v="2024-05-14T00:00:00"/>
    <s v="E08"/>
    <s v="P201"/>
    <n v="12"/>
    <s v="Aiko Yamamoto"/>
    <x v="3"/>
    <s v="Ergonomic Chair"/>
    <x v="0"/>
    <n v="219"/>
    <n v="2628"/>
  </r>
  <r>
    <s v="SO-2020"/>
    <d v="2024-04-24T00:00:00"/>
    <s v="E05"/>
    <s v="P302"/>
    <n v="2"/>
    <s v="David Osei"/>
    <x v="2"/>
    <s v="Desk Planner"/>
    <x v="1"/>
    <n v="14"/>
    <n v="28"/>
  </r>
  <r>
    <s v="SO-2021"/>
    <d v="2024-01-31T00:00:00"/>
    <s v="E07"/>
    <s v="P102"/>
    <n v="13"/>
    <s v="Tom Fitzgerald"/>
    <x v="0"/>
    <s v="USB-C Hub"/>
    <x v="2"/>
    <n v="39"/>
    <n v="507"/>
  </r>
  <r>
    <s v="SO-2022"/>
    <d v="2024-03-28T00:00:00"/>
    <s v="E03"/>
    <s v="P300"/>
    <n v="7"/>
    <s v="Han Sooyoung"/>
    <x v="0"/>
    <s v="Sticky Note Pack"/>
    <x v="1"/>
    <n v="6.25"/>
    <n v="43.75"/>
  </r>
  <r>
    <s v="SO-2023"/>
    <d v="2024-01-11T00:00:00"/>
    <s v="E02"/>
    <s v="P301"/>
    <n v="10"/>
    <s v="Fatima Bello"/>
    <x v="1"/>
    <s v="Fountain Pen Set"/>
    <x v="1"/>
    <n v="18.5"/>
    <n v="185"/>
  </r>
  <r>
    <s v="SO-2024"/>
    <d v="2024-03-21T00:00:00"/>
    <s v="E06"/>
    <s v="P401"/>
    <n v="6"/>
    <s v="Priya Nair"/>
    <x v="1"/>
    <s v="Design Suite License"/>
    <x v="3"/>
    <n v="199"/>
    <n v="1194"/>
  </r>
  <r>
    <s v="SO-2025"/>
    <d v="2024-06-01T00:00:00"/>
    <s v="E08"/>
    <s v="P302"/>
    <n v="13"/>
    <s v="Aiko Yamamoto"/>
    <x v="3"/>
    <s v="Desk Planner"/>
    <x v="1"/>
    <n v="14"/>
    <n v="182"/>
  </r>
  <r>
    <s v="SO-2026"/>
    <d v="2024-04-26T00:00:00"/>
    <s v="E02"/>
    <s v="P101"/>
    <n v="5"/>
    <s v="Fatima Bello"/>
    <x v="1"/>
    <s v="Mechanical Keyboard"/>
    <x v="2"/>
    <n v="74.5"/>
    <n v="372.5"/>
  </r>
  <r>
    <s v="SO-2027"/>
    <d v="2024-05-01T00:00:00"/>
    <s v="E02"/>
    <s v="P100"/>
    <n v="12"/>
    <s v="Fatima Bello"/>
    <x v="1"/>
    <s v="Wireless Mouse"/>
    <x v="2"/>
    <n v="24.99"/>
    <n v="299.88"/>
  </r>
  <r>
    <s v="SO-2028"/>
    <d v="2024-06-28T00:00:00"/>
    <s v="E05"/>
    <s v="P999"/>
    <n v="10"/>
    <s v="David Osei"/>
    <x v="2"/>
    <s v="Product Not Found"/>
    <x v="3"/>
    <n v="199"/>
    <n v="1990"/>
  </r>
  <r>
    <s v="SO-2029"/>
    <d v="2024-06-23T00:00:00"/>
    <s v="E08"/>
    <s v="P200"/>
    <n v="12"/>
    <s v="Aiko Yamamoto"/>
    <x v="3"/>
    <s v="Standing Desk"/>
    <x v="0"/>
    <n v="349"/>
    <n v="4188"/>
  </r>
  <r>
    <s v="SO-2030"/>
    <d v="2024-04-08T00:00:00"/>
    <s v="E06"/>
    <s v="P100"/>
    <n v="8"/>
    <s v="Priya Nair"/>
    <x v="1"/>
    <s v="Wireless Mouse"/>
    <x v="2"/>
    <n v="24.99"/>
    <n v="199.92"/>
  </r>
  <r>
    <s v="SO-2031"/>
    <d v="2024-03-31T00:00:00"/>
    <s v="E03"/>
    <s v="P302"/>
    <n v="2"/>
    <s v="Han Sooyoung"/>
    <x v="0"/>
    <s v="Desk Planner"/>
    <x v="1"/>
    <n v="14"/>
    <n v="28"/>
  </r>
  <r>
    <s v="SO-2032"/>
    <d v="2024-05-06T00:00:00"/>
    <s v="E01"/>
    <s v="P103"/>
    <n v="13"/>
    <s v="Marcus Lee"/>
    <x v="2"/>
    <s v="Noise-Cancelling Headphones"/>
    <x v="2"/>
    <n v="129.99"/>
    <n v="1689.8700000000001"/>
  </r>
  <r>
    <s v="SO-2033"/>
    <d v="2024-03-14T00:00:00"/>
    <s v="E03"/>
    <s v="P401"/>
    <n v="4"/>
    <s v="Han Sooyoung"/>
    <x v="0"/>
    <s v="Design Suite License"/>
    <x v="3"/>
    <n v="199"/>
    <n v="796"/>
  </r>
  <r>
    <s v="SO-2034"/>
    <d v="2024-04-11T00:00:00"/>
    <s v="E07"/>
    <s v="P300"/>
    <n v="2"/>
    <s v="Tom Fitzgerald"/>
    <x v="0"/>
    <s v="Sticky Note Pack"/>
    <x v="1"/>
    <n v="6.25"/>
    <n v="12.5"/>
  </r>
  <r>
    <s v="SO-2035"/>
    <d v="2024-02-12T00:00:00"/>
    <s v="E08"/>
    <s v="P202"/>
    <n v="9"/>
    <s v="Aiko Yamamoto"/>
    <x v="3"/>
    <s v="Monitor Arm"/>
    <x v="0"/>
    <n v="58.75"/>
    <n v="528.75"/>
  </r>
  <r>
    <s v="SO-2036"/>
    <d v="2024-03-12T00:00:00"/>
    <s v="E03"/>
    <s v="P202"/>
    <n v="14"/>
    <s v="Han Sooyoung"/>
    <x v="0"/>
    <s v="Monitor Arm"/>
    <x v="0"/>
    <n v="58.75"/>
    <n v="822.5"/>
  </r>
  <r>
    <s v="SO-2037"/>
    <d v="2024-05-20T00:00:00"/>
    <s v="E05"/>
    <s v="P401"/>
    <n v="7"/>
    <s v="David Osei"/>
    <x v="2"/>
    <s v="Design Suite License"/>
    <x v="3"/>
    <n v="199"/>
    <n v="1393"/>
  </r>
  <r>
    <s v="SO-2038"/>
    <d v="2024-04-01T00:00:00"/>
    <s v="E07"/>
    <s v="P103"/>
    <n v="3"/>
    <s v="Tom Fitzgerald"/>
    <x v="0"/>
    <s v="Noise-Cancelling Headphones"/>
    <x v="2"/>
    <n v="129.99"/>
    <n v="389.97"/>
  </r>
  <r>
    <s v="SO-2039"/>
    <d v="2024-01-22T00:00:00"/>
    <s v="E03"/>
    <s v="P102"/>
    <n v="4"/>
    <s v="Han Sooyoung"/>
    <x v="0"/>
    <s v="USB-C Hub"/>
    <x v="2"/>
    <n v="39"/>
    <n v="156"/>
  </r>
  <r>
    <s v="SO-2040"/>
    <d v="2024-06-17T00:00:00"/>
    <s v="E04"/>
    <s v="P100"/>
    <n v="8"/>
    <s v="Isabella Cruz"/>
    <x v="3"/>
    <s v="Wireless Mouse"/>
    <x v="2"/>
    <n v="24.99"/>
    <n v="199.92"/>
  </r>
  <r>
    <s v="SO-2041"/>
    <d v="2024-05-30T00:00:00"/>
    <s v="E98"/>
    <s v="P200"/>
    <n v="5"/>
    <s v="Rep Not Found"/>
    <x v="4"/>
    <s v="Standing Desk"/>
    <x v="0"/>
    <n v="349"/>
    <n v="1745"/>
  </r>
  <r>
    <s v="SO-2042"/>
    <d v="2024-01-02T00:00:00"/>
    <s v="E03"/>
    <s v="P202"/>
    <n v="9"/>
    <s v="Han Sooyoung"/>
    <x v="0"/>
    <s v="Monitor Arm"/>
    <x v="0"/>
    <n v="58.75"/>
    <n v="528.75"/>
  </r>
  <r>
    <s v="SO-2043"/>
    <d v="2024-04-04T00:00:00"/>
    <s v="E06"/>
    <s v="P102"/>
    <n v="12"/>
    <s v="Priya Nair"/>
    <x v="1"/>
    <s v="USB-C Hub"/>
    <x v="2"/>
    <n v="39"/>
    <n v="468"/>
  </r>
  <r>
    <s v="SO-2044"/>
    <d v="2024-05-11T00:00:00"/>
    <s v="E01"/>
    <s v="P300"/>
    <n v="15"/>
    <s v="Marcus Lee"/>
    <x v="2"/>
    <s v="Sticky Note Pack"/>
    <x v="1"/>
    <n v="6.25"/>
    <n v="93.75"/>
  </r>
  <r>
    <s v="SO-2045"/>
    <d v="2024-07-18T00:00:00"/>
    <s v="E07"/>
    <s v="P202"/>
    <n v="7"/>
    <s v="Tom Fitzgerald"/>
    <x v="0"/>
    <s v="Monitor Arm"/>
    <x v="0"/>
    <n v="58.75"/>
    <n v="411.25"/>
  </r>
  <r>
    <s v="SO-2046"/>
    <d v="2024-04-10T00:00:00"/>
    <s v="E02"/>
    <s v="P300"/>
    <n v="11"/>
    <s v="Fatima Bello"/>
    <x v="1"/>
    <s v="Sticky Note Pack"/>
    <x v="1"/>
    <n v="6.25"/>
    <n v="68.75"/>
  </r>
  <r>
    <s v="SO-2047"/>
    <d v="2024-04-12T00:00:00"/>
    <s v="E01"/>
    <s v="P103"/>
    <n v="2"/>
    <s v="Marcus Lee"/>
    <x v="2"/>
    <s v="Noise-Cancelling Headphones"/>
    <x v="2"/>
    <n v="129.99"/>
    <n v="259.98"/>
  </r>
  <r>
    <s v="SO-2048"/>
    <d v="2024-02-23T00:00:00"/>
    <s v="E08"/>
    <s v="P102"/>
    <n v="2"/>
    <s v="Aiko Yamamoto"/>
    <x v="3"/>
    <s v="USB-C Hub"/>
    <x v="2"/>
    <n v="39"/>
    <n v="78"/>
  </r>
  <r>
    <s v="SO-2049"/>
    <d v="2024-03-28T00:00:00"/>
    <s v="E01"/>
    <s v="P101"/>
    <n v="1"/>
    <s v="Marcus Lee"/>
    <x v="2"/>
    <s v="Mechanical Keyboard"/>
    <x v="2"/>
    <n v="74.5"/>
    <n v="74.5"/>
  </r>
  <r>
    <s v="SO-2050"/>
    <d v="2024-05-25T00:00:00"/>
    <s v="E03"/>
    <s v="P301"/>
    <n v="2"/>
    <s v="Han Sooyoung"/>
    <x v="0"/>
    <s v="Fountain Pen Set"/>
    <x v="1"/>
    <n v="18.5"/>
    <n v="37"/>
  </r>
  <r>
    <s v="SO-2051"/>
    <d v="2024-04-03T00:00:00"/>
    <s v="E01"/>
    <s v="P101"/>
    <n v="14"/>
    <s v="Marcus Lee"/>
    <x v="2"/>
    <s v="Mechanical Keyboard"/>
    <x v="2"/>
    <n v="74.5"/>
    <n v="1043"/>
  </r>
  <r>
    <s v="SO-2052"/>
    <d v="2024-02-23T00:00:00"/>
    <s v="E07"/>
    <s v="P102"/>
    <n v="11"/>
    <s v="Tom Fitzgerald"/>
    <x v="0"/>
    <s v="USB-C Hub"/>
    <x v="2"/>
    <n v="39"/>
    <n v="429"/>
  </r>
  <r>
    <s v="SO-2053"/>
    <d v="2024-03-05T00:00:00"/>
    <s v="E06"/>
    <s v="P302"/>
    <n v="6"/>
    <s v="Priya Nair"/>
    <x v="1"/>
    <s v="Desk Planner"/>
    <x v="1"/>
    <n v="14"/>
    <n v="84"/>
  </r>
  <r>
    <s v="SO-2054"/>
    <d v="2024-05-01T00:00:00"/>
    <s v="E02"/>
    <s v="P101"/>
    <n v="14"/>
    <s v="Fatima Bello"/>
    <x v="1"/>
    <s v="Mechanical Keyboard"/>
    <x v="2"/>
    <n v="74.5"/>
    <n v="1043"/>
  </r>
  <r>
    <s v="SO-2055"/>
    <d v="2024-05-04T00:00:00"/>
    <s v="E08"/>
    <s v="P300"/>
    <n v="8"/>
    <s v="Aiko Yamamoto"/>
    <x v="3"/>
    <s v="Sticky Note Pack"/>
    <x v="1"/>
    <n v="6.25"/>
    <n v="5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82D09F7-03EC-4250-8292-97219DDA109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C23" firstHeaderRow="0" firstDataRow="1" firstDataCol="1"/>
  <pivotFields count="11">
    <pivotField showAll="0"/>
    <pivotField numFmtId="164" showAll="0"/>
    <pivotField showAll="0"/>
    <pivotField showAll="0"/>
    <pivotField dataField="1" showAll="0"/>
    <pivotField showAll="0"/>
    <pivotField axis="axisRow" showAll="0">
      <items count="6">
        <item x="0"/>
        <item x="2"/>
        <item x="4"/>
        <item x="1"/>
        <item x="3"/>
        <item t="default"/>
      </items>
    </pivotField>
    <pivotField showAll="0"/>
    <pivotField axis="axisRow" showAll="0">
      <items count="5">
        <item x="2"/>
        <item x="0"/>
        <item x="3"/>
        <item x="1"/>
        <item t="default"/>
      </items>
    </pivotField>
    <pivotField numFmtId="166" showAll="0"/>
    <pivotField dataField="1" numFmtId="166" showAll="0"/>
  </pivotFields>
  <rowFields count="2">
    <field x="6"/>
    <field x="8"/>
  </rowFields>
  <rowItems count="22">
    <i>
      <x/>
    </i>
    <i r="1">
      <x/>
    </i>
    <i r="1">
      <x v="1"/>
    </i>
    <i r="1">
      <x v="2"/>
    </i>
    <i r="1">
      <x v="3"/>
    </i>
    <i>
      <x v="1"/>
    </i>
    <i r="1">
      <x/>
    </i>
    <i r="1">
      <x v="2"/>
    </i>
    <i r="1">
      <x v="3"/>
    </i>
    <i>
      <x v="2"/>
    </i>
    <i r="1">
      <x v="1"/>
    </i>
    <i r="1">
      <x v="3"/>
    </i>
    <i>
      <x v="3"/>
    </i>
    <i r="1">
      <x/>
    </i>
    <i r="1">
      <x v="1"/>
    </i>
    <i r="1">
      <x v="2"/>
    </i>
    <i r="1">
      <x v="3"/>
    </i>
    <i>
      <x v="4"/>
    </i>
    <i r="1">
      <x/>
    </i>
    <i r="1">
      <x v="1"/>
    </i>
    <i r="1">
      <x v="3"/>
    </i>
    <i t="grand">
      <x/>
    </i>
  </rowItems>
  <colFields count="1">
    <field x="-2"/>
  </colFields>
  <colItems count="2">
    <i>
      <x/>
    </i>
    <i i="1">
      <x v="1"/>
    </i>
  </colItems>
  <dataFields count="2">
    <dataField name="Sum of Line Total" fld="10" baseField="0" baseItem="0" numFmtId="166"/>
    <dataField name="Sum of Quantity" fld="4"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A92EB6A-FE13-4DC4-9036-00EAA097C2D3}" name="Table3" displayName="Table3" ref="A4:K59" totalsRowShown="0" headerRowDxfId="15" dataDxfId="13" headerRowBorderDxfId="14" tableBorderDxfId="12" totalsRowBorderDxfId="11">
  <autoFilter ref="A4:K59" xr:uid="{00000000-0001-0000-0000-000000000000}"/>
  <tableColumns count="11">
    <tableColumn id="1" xr3:uid="{526F552D-4D4D-4ECC-92E6-C76283DCE383}" name="Order ID" dataDxfId="10"/>
    <tableColumn id="2" xr3:uid="{BA51ABFC-DE5E-4960-A8BC-ACAF32B1A9F4}" name="Order Date" dataDxfId="9"/>
    <tableColumn id="3" xr3:uid="{3A978653-A3A8-435E-8AD3-0584DA50B8D5}" name="Rep ID" dataDxfId="8"/>
    <tableColumn id="4" xr3:uid="{F1DA8F81-0EFF-4D59-9C4B-A3CAE2FBF4BF}" name="Product Code" dataDxfId="7"/>
    <tableColumn id="5" xr3:uid="{12D20C53-9FF9-4953-B41C-04AE1CF1D968}" name="Quantity" dataDxfId="6"/>
    <tableColumn id="6" xr3:uid="{F957E131-79E3-41CC-BC83-2E594BC78506}" name="Rep Name" dataDxfId="5">
      <calculatedColumnFormula>_xlfn.IFNA(_xlfn.XLOOKUP(C5,'Employee Lookup'!$A$4:$A$11,'Employee Lookup'!$B$4:$B$11), "Rep Not Found")</calculatedColumnFormula>
    </tableColumn>
    <tableColumn id="7" xr3:uid="{8B9E1A81-282E-449D-A88B-AC7F25C542EA}" name="Region" dataDxfId="4">
      <calculatedColumnFormula>_xlfn.IFNA(_xlfn.XLOOKUP(Orders!C5,'Employee Lookup'!$A$4:$A$11,'Employee Lookup'!$C$4:$C$11), "Region Not Found")</calculatedColumnFormula>
    </tableColumn>
    <tableColumn id="8" xr3:uid="{F39B1ECA-DBF4-47DC-978C-0D1DCCE67967}" name="Product Name" dataDxfId="3">
      <calculatedColumnFormula>IFERROR(INDEX('Product Lookup'!$B$4:$B$15,MATCH(D5,'Product Lookup'!$A$4:$A$15,0)),"Product Not Found")</calculatedColumnFormula>
    </tableColumn>
    <tableColumn id="9" xr3:uid="{1DE4423D-8338-4554-85AE-0C01DE9D24F5}" name="Category" dataDxfId="2">
      <calculatedColumnFormula>IFERROR(VLOOKUP(Orders!D5,'Product Lookup'!$A$4:$D$15,3), "Category Not Found")</calculatedColumnFormula>
    </tableColumn>
    <tableColumn id="10" xr3:uid="{3C451F9F-AE35-4D14-BA28-4660B9B8514D}" name="Unit Price" dataDxfId="1">
      <calculatedColumnFormula>VLOOKUP(Orders!D5,'Product Lookup'!$A$4:$D$15,4)</calculatedColumnFormula>
    </tableColumn>
    <tableColumn id="11" xr3:uid="{B702B153-B20E-4256-8351-35673047CD12}" name="Line Total" dataDxfId="0">
      <calculatedColumnFormula>IF(ISNUMBER(J5), E5*J5, 0)</calculatedColumnFormula>
    </tableColumn>
  </tableColumns>
  <tableStyleInfo name="TableStyleLight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9"/>
  <sheetViews>
    <sheetView showGridLines="0" workbookViewId="0">
      <selection activeCell="H5" sqref="H5"/>
    </sheetView>
  </sheetViews>
  <sheetFormatPr defaultRowHeight="15"/>
  <cols>
    <col min="1" max="1" width="11.7109375" customWidth="1"/>
    <col min="2" max="2" width="14" customWidth="1"/>
    <col min="3" max="3" width="9.7109375" customWidth="1"/>
    <col min="4" max="4" width="16.42578125" customWidth="1"/>
    <col min="5" max="5" width="11.5703125" customWidth="1"/>
    <col min="6" max="6" width="16" customWidth="1"/>
    <col min="7" max="7" width="17" bestFit="1" customWidth="1"/>
    <col min="8" max="8" width="28.140625" bestFit="1" customWidth="1"/>
    <col min="9" max="9" width="13" customWidth="1"/>
    <col min="10" max="10" width="12.85546875" customWidth="1"/>
    <col min="11" max="11" width="13.140625" customWidth="1"/>
  </cols>
  <sheetData>
    <row r="1" spans="1:11" ht="26.1" customHeight="1">
      <c r="A1" s="35" t="s">
        <v>0</v>
      </c>
      <c r="B1" s="34"/>
      <c r="C1" s="34"/>
      <c r="D1" s="34"/>
      <c r="E1" s="34"/>
      <c r="F1" s="34"/>
      <c r="G1" s="34"/>
      <c r="H1" s="34"/>
      <c r="I1" s="34"/>
      <c r="J1" s="34"/>
      <c r="K1" s="34"/>
    </row>
    <row r="2" spans="1:11">
      <c r="A2" s="33" t="s">
        <v>1</v>
      </c>
      <c r="B2" s="34"/>
      <c r="C2" s="34"/>
      <c r="D2" s="34"/>
      <c r="E2" s="34"/>
      <c r="F2" s="34"/>
      <c r="G2" s="34"/>
      <c r="H2" s="34"/>
      <c r="I2" s="34"/>
      <c r="J2" s="34"/>
      <c r="K2" s="34"/>
    </row>
    <row r="4" spans="1:11">
      <c r="A4" s="19" t="s">
        <v>2</v>
      </c>
      <c r="B4" s="20" t="s">
        <v>3</v>
      </c>
      <c r="C4" s="20" t="s">
        <v>4</v>
      </c>
      <c r="D4" s="20" t="s">
        <v>5</v>
      </c>
      <c r="E4" s="20" t="s">
        <v>6</v>
      </c>
      <c r="F4" s="20" t="s">
        <v>7</v>
      </c>
      <c r="G4" s="20" t="s">
        <v>8</v>
      </c>
      <c r="H4" s="20" t="s">
        <v>9</v>
      </c>
      <c r="I4" s="20" t="s">
        <v>10</v>
      </c>
      <c r="J4" s="20" t="s">
        <v>11</v>
      </c>
      <c r="K4" s="21" t="s">
        <v>12</v>
      </c>
    </row>
    <row r="5" spans="1:11">
      <c r="A5" s="17" t="s">
        <v>13</v>
      </c>
      <c r="B5" s="2">
        <v>45374</v>
      </c>
      <c r="C5" s="1" t="s">
        <v>14</v>
      </c>
      <c r="D5" s="1" t="s">
        <v>15</v>
      </c>
      <c r="E5" s="1">
        <v>11</v>
      </c>
      <c r="F5" s="1" t="str">
        <f>_xlfn.IFNA(_xlfn.XLOOKUP(C5,'Employee Lookup'!$A$4:$A$11,'Employee Lookup'!$B$4:$B$11), "Rep Not Found")</f>
        <v>Han Sooyoung</v>
      </c>
      <c r="G5" s="1" t="str">
        <f>_xlfn.IFNA(_xlfn.XLOOKUP(Orders!C5,'Employee Lookup'!$A$4:$A$11,'Employee Lookup'!$C$4:$C$11), "Region Not Found")</f>
        <v>East</v>
      </c>
      <c r="H5" s="1" t="str">
        <f>IFERROR(INDEX('Product Lookup'!$B$4:$B$15,MATCH(D5,'Product Lookup'!$A$4:$A$15,0)),"Product Not Found")</f>
        <v>Monitor Arm</v>
      </c>
      <c r="I5" s="1" t="str">
        <f>IFERROR(VLOOKUP(Orders!D5,'Product Lookup'!$A$4:$D$15,3), "Category Not Found")</f>
        <v>Furniture</v>
      </c>
      <c r="J5" s="12">
        <f>VLOOKUP(Orders!D5,'Product Lookup'!$A$4:$D$15,4)</f>
        <v>58.75</v>
      </c>
      <c r="K5" s="18">
        <f>IF(ISNUMBER(J5), E5*J5, 0)</f>
        <v>646.25</v>
      </c>
    </row>
    <row r="6" spans="1:11" s="32" customFormat="1">
      <c r="A6" s="27" t="s">
        <v>16</v>
      </c>
      <c r="B6" s="28">
        <v>45304</v>
      </c>
      <c r="C6" s="29" t="s">
        <v>17</v>
      </c>
      <c r="D6" s="29" t="s">
        <v>18</v>
      </c>
      <c r="E6" s="29">
        <v>2</v>
      </c>
      <c r="F6" s="29" t="str">
        <f>_xlfn.IFNA(_xlfn.XLOOKUP(C6,'Employee Lookup'!$A$4:$A$11,'Employee Lookup'!$B$4:$B$11), "Rep Not Found")</f>
        <v>Fatima Bello</v>
      </c>
      <c r="G6" s="29" t="str">
        <f>_xlfn.IFNA(_xlfn.XLOOKUP(Orders!C6,'Employee Lookup'!$A$4:$A$11,'Employee Lookup'!$C$4:$C$11), "Region Not Found")</f>
        <v>South</v>
      </c>
      <c r="H6" s="29" t="str">
        <f>IFERROR(INDEX('Product Lookup'!$B$4:$B$15,MATCH(D6,'Product Lookup'!$A$4:$A$15,0)),"Product Not Found")</f>
        <v>Fountain Pen Set</v>
      </c>
      <c r="I6" s="29" t="str">
        <f>IFERROR(VLOOKUP(Orders!D6,'Product Lookup'!$A$4:$D$15,3), "Category Not Found")</f>
        <v>Stationery</v>
      </c>
      <c r="J6" s="30">
        <f>VLOOKUP(Orders!D6,'Product Lookup'!$A$4:$D$15,4)</f>
        <v>18.5</v>
      </c>
      <c r="K6" s="31">
        <f t="shared" ref="K6:K59" si="0">IF(ISNUMBER(J6), E6*J6, 0)</f>
        <v>37</v>
      </c>
    </row>
    <row r="7" spans="1:11">
      <c r="A7" s="17" t="s">
        <v>19</v>
      </c>
      <c r="B7" s="2">
        <v>45385</v>
      </c>
      <c r="C7" s="1" t="s">
        <v>20</v>
      </c>
      <c r="D7" s="1" t="s">
        <v>18</v>
      </c>
      <c r="E7" s="1">
        <v>4</v>
      </c>
      <c r="F7" s="1" t="str">
        <f>_xlfn.IFNA(_xlfn.XLOOKUP(C7,'Employee Lookup'!$A$4:$A$11,'Employee Lookup'!$B$4:$B$11), "Rep Not Found")</f>
        <v>Marcus Lee</v>
      </c>
      <c r="G7" s="1" t="str">
        <f>_xlfn.IFNA(_xlfn.XLOOKUP(Orders!C7,'Employee Lookup'!$A$4:$A$11,'Employee Lookup'!$C$4:$C$11), "Region Not Found")</f>
        <v>North</v>
      </c>
      <c r="H7" s="1" t="str">
        <f>IFERROR(INDEX('Product Lookup'!$B$4:$B$15,MATCH(D7,'Product Lookup'!$A$4:$A$15,0)),"Product Not Found")</f>
        <v>Fountain Pen Set</v>
      </c>
      <c r="I7" s="1" t="str">
        <f>IFERROR(VLOOKUP(Orders!D7,'Product Lookup'!$A$4:$D$15,3), "Category Not Found")</f>
        <v>Stationery</v>
      </c>
      <c r="J7" s="12">
        <f>VLOOKUP(Orders!D7,'Product Lookup'!$A$4:$D$15,4)</f>
        <v>18.5</v>
      </c>
      <c r="K7" s="18">
        <f t="shared" si="0"/>
        <v>74</v>
      </c>
    </row>
    <row r="8" spans="1:11" s="32" customFormat="1">
      <c r="A8" s="27" t="s">
        <v>21</v>
      </c>
      <c r="B8" s="28">
        <v>45301</v>
      </c>
      <c r="C8" s="29" t="s">
        <v>17</v>
      </c>
      <c r="D8" s="29" t="s">
        <v>15</v>
      </c>
      <c r="E8" s="29">
        <v>7</v>
      </c>
      <c r="F8" s="29" t="str">
        <f>_xlfn.IFNA(_xlfn.XLOOKUP(C8,'Employee Lookup'!$A$4:$A$11,'Employee Lookup'!$B$4:$B$11), "Rep Not Found")</f>
        <v>Fatima Bello</v>
      </c>
      <c r="G8" s="29" t="str">
        <f>_xlfn.IFNA(_xlfn.XLOOKUP(Orders!C8,'Employee Lookup'!$A$4:$A$11,'Employee Lookup'!$C$4:$C$11), "Region Not Found")</f>
        <v>South</v>
      </c>
      <c r="H8" s="29" t="str">
        <f>IFERROR(INDEX('Product Lookup'!$B$4:$B$15,MATCH(D8,'Product Lookup'!$A$4:$A$15,0)),"Product Not Found")</f>
        <v>Monitor Arm</v>
      </c>
      <c r="I8" s="29" t="str">
        <f>IFERROR(VLOOKUP(Orders!D8,'Product Lookup'!$A$4:$D$15,3), "Category Not Found")</f>
        <v>Furniture</v>
      </c>
      <c r="J8" s="30">
        <f>VLOOKUP(Orders!D8,'Product Lookup'!$A$4:$D$15,4)</f>
        <v>58.75</v>
      </c>
      <c r="K8" s="31">
        <f t="shared" si="0"/>
        <v>411.25</v>
      </c>
    </row>
    <row r="9" spans="1:11">
      <c r="A9" s="17" t="s">
        <v>22</v>
      </c>
      <c r="B9" s="2">
        <v>45309</v>
      </c>
      <c r="C9" s="1" t="s">
        <v>23</v>
      </c>
      <c r="D9" s="1" t="s">
        <v>24</v>
      </c>
      <c r="E9" s="1">
        <v>9</v>
      </c>
      <c r="F9" s="1" t="str">
        <f>_xlfn.IFNA(_xlfn.XLOOKUP(C9,'Employee Lookup'!$A$4:$A$11,'Employee Lookup'!$B$4:$B$11), "Rep Not Found")</f>
        <v>Isabella Cruz</v>
      </c>
      <c r="G9" s="1" t="str">
        <f>_xlfn.IFNA(_xlfn.XLOOKUP(Orders!C9,'Employee Lookup'!$A$4:$A$11,'Employee Lookup'!$C$4:$C$11), "Region Not Found")</f>
        <v>West</v>
      </c>
      <c r="H9" s="1" t="str">
        <f>IFERROR(INDEX('Product Lookup'!$B$4:$B$15,MATCH(D9,'Product Lookup'!$A$4:$A$15,0)),"Product Not Found")</f>
        <v>Mechanical Keyboard</v>
      </c>
      <c r="I9" s="1" t="str">
        <f>IFERROR(VLOOKUP(Orders!D9,'Product Lookup'!$A$4:$D$15,3), "Category Not Found")</f>
        <v>Electronics</v>
      </c>
      <c r="J9" s="12">
        <f>VLOOKUP(Orders!D9,'Product Lookup'!$A$4:$D$15,4)</f>
        <v>74.5</v>
      </c>
      <c r="K9" s="18">
        <f t="shared" si="0"/>
        <v>670.5</v>
      </c>
    </row>
    <row r="10" spans="1:11" s="32" customFormat="1">
      <c r="A10" s="27" t="s">
        <v>25</v>
      </c>
      <c r="B10" s="28">
        <v>45400</v>
      </c>
      <c r="C10" s="29" t="s">
        <v>20</v>
      </c>
      <c r="D10" s="29" t="s">
        <v>26</v>
      </c>
      <c r="E10" s="29">
        <v>2</v>
      </c>
      <c r="F10" s="29" t="str">
        <f>_xlfn.IFNA(_xlfn.XLOOKUP(C10,'Employee Lookup'!$A$4:$A$11,'Employee Lookup'!$B$4:$B$11), "Rep Not Found")</f>
        <v>Marcus Lee</v>
      </c>
      <c r="G10" s="29" t="str">
        <f>_xlfn.IFNA(_xlfn.XLOOKUP(Orders!C10,'Employee Lookup'!$A$4:$A$11,'Employee Lookup'!$C$4:$C$11), "Region Not Found")</f>
        <v>North</v>
      </c>
      <c r="H10" s="29" t="str">
        <f>IFERROR(INDEX('Product Lookup'!$B$4:$B$15,MATCH(D10,'Product Lookup'!$A$4:$A$15,0)),"Product Not Found")</f>
        <v>Desk Planner</v>
      </c>
      <c r="I10" s="29" t="str">
        <f>IFERROR(VLOOKUP(Orders!D10,'Product Lookup'!$A$4:$D$15,3), "Category Not Found")</f>
        <v>Stationery</v>
      </c>
      <c r="J10" s="30">
        <f>VLOOKUP(Orders!D10,'Product Lookup'!$A$4:$D$15,4)</f>
        <v>14</v>
      </c>
      <c r="K10" s="31">
        <f t="shared" si="0"/>
        <v>28</v>
      </c>
    </row>
    <row r="11" spans="1:11">
      <c r="A11" s="17" t="s">
        <v>27</v>
      </c>
      <c r="B11" s="2">
        <v>45349</v>
      </c>
      <c r="C11" s="1" t="s">
        <v>20</v>
      </c>
      <c r="D11" s="1" t="s">
        <v>26</v>
      </c>
      <c r="E11" s="1">
        <v>10</v>
      </c>
      <c r="F11" s="1" t="str">
        <f>_xlfn.IFNA(_xlfn.XLOOKUP(C11,'Employee Lookup'!$A$4:$A$11,'Employee Lookup'!$B$4:$B$11), "Rep Not Found")</f>
        <v>Marcus Lee</v>
      </c>
      <c r="G11" s="1" t="str">
        <f>_xlfn.IFNA(_xlfn.XLOOKUP(Orders!C11,'Employee Lookup'!$A$4:$A$11,'Employee Lookup'!$C$4:$C$11), "Region Not Found")</f>
        <v>North</v>
      </c>
      <c r="H11" s="1" t="str">
        <f>IFERROR(INDEX('Product Lookup'!$B$4:$B$15,MATCH(D11,'Product Lookup'!$A$4:$A$15,0)),"Product Not Found")</f>
        <v>Desk Planner</v>
      </c>
      <c r="I11" s="1" t="str">
        <f>IFERROR(VLOOKUP(Orders!D11,'Product Lookup'!$A$4:$D$15,3), "Category Not Found")</f>
        <v>Stationery</v>
      </c>
      <c r="J11" s="12">
        <f>VLOOKUP(Orders!D11,'Product Lookup'!$A$4:$D$15,4)</f>
        <v>14</v>
      </c>
      <c r="K11" s="18">
        <f t="shared" si="0"/>
        <v>140</v>
      </c>
    </row>
    <row r="12" spans="1:11" s="32" customFormat="1">
      <c r="A12" s="27" t="s">
        <v>28</v>
      </c>
      <c r="B12" s="28">
        <v>45393</v>
      </c>
      <c r="C12" s="29" t="s">
        <v>20</v>
      </c>
      <c r="D12" s="29" t="s">
        <v>29</v>
      </c>
      <c r="E12" s="29">
        <v>1</v>
      </c>
      <c r="F12" s="29" t="str">
        <f>_xlfn.IFNA(_xlfn.XLOOKUP(C12,'Employee Lookup'!$A$4:$A$11,'Employee Lookup'!$B$4:$B$11), "Rep Not Found")</f>
        <v>Marcus Lee</v>
      </c>
      <c r="G12" s="29" t="str">
        <f>_xlfn.IFNA(_xlfn.XLOOKUP(Orders!C12,'Employee Lookup'!$A$4:$A$11,'Employee Lookup'!$C$4:$C$11), "Region Not Found")</f>
        <v>North</v>
      </c>
      <c r="H12" s="29" t="str">
        <f>IFERROR(INDEX('Product Lookup'!$B$4:$B$15,MATCH(D12,'Product Lookup'!$A$4:$A$15,0)),"Product Not Found")</f>
        <v>Noise-Cancelling Headphones</v>
      </c>
      <c r="I12" s="29" t="str">
        <f>IFERROR(VLOOKUP(Orders!D12,'Product Lookup'!$A$4:$D$15,3), "Category Not Found")</f>
        <v>Electronics</v>
      </c>
      <c r="J12" s="30">
        <f>VLOOKUP(Orders!D12,'Product Lookup'!$A$4:$D$15,4)</f>
        <v>129.99</v>
      </c>
      <c r="K12" s="31">
        <f t="shared" si="0"/>
        <v>129.99</v>
      </c>
    </row>
    <row r="13" spans="1:11">
      <c r="A13" s="17" t="s">
        <v>30</v>
      </c>
      <c r="B13" s="2">
        <v>45434</v>
      </c>
      <c r="C13" s="1" t="s">
        <v>14</v>
      </c>
      <c r="D13" s="1" t="s">
        <v>31</v>
      </c>
      <c r="E13" s="1">
        <v>7</v>
      </c>
      <c r="F13" s="1" t="str">
        <f>_xlfn.IFNA(_xlfn.XLOOKUP(C13,'Employee Lookup'!$A$4:$A$11,'Employee Lookup'!$B$4:$B$11), "Rep Not Found")</f>
        <v>Han Sooyoung</v>
      </c>
      <c r="G13" s="1" t="str">
        <f>_xlfn.IFNA(_xlfn.XLOOKUP(Orders!C13,'Employee Lookup'!$A$4:$A$11,'Employee Lookup'!$C$4:$C$11), "Region Not Found")</f>
        <v>East</v>
      </c>
      <c r="H13" s="1" t="str">
        <f>IFERROR(INDEX('Product Lookup'!$B$4:$B$15,MATCH(D13,'Product Lookup'!$A$4:$A$15,0)),"Product Not Found")</f>
        <v>Standing Desk</v>
      </c>
      <c r="I13" s="1" t="str">
        <f>IFERROR(VLOOKUP(Orders!D13,'Product Lookup'!$A$4:$D$15,3), "Category Not Found")</f>
        <v>Furniture</v>
      </c>
      <c r="J13" s="12">
        <f>VLOOKUP(Orders!D13,'Product Lookup'!$A$4:$D$15,4)</f>
        <v>349</v>
      </c>
      <c r="K13" s="18">
        <f t="shared" si="0"/>
        <v>2443</v>
      </c>
    </row>
    <row r="14" spans="1:11" s="32" customFormat="1">
      <c r="A14" s="27" t="s">
        <v>32</v>
      </c>
      <c r="B14" s="28">
        <v>45328</v>
      </c>
      <c r="C14" s="29" t="s">
        <v>33</v>
      </c>
      <c r="D14" s="29" t="s">
        <v>26</v>
      </c>
      <c r="E14" s="29">
        <v>5</v>
      </c>
      <c r="F14" s="29" t="str">
        <f>_xlfn.IFNA(_xlfn.XLOOKUP(C14,'Employee Lookup'!$A$4:$A$11,'Employee Lookup'!$B$4:$B$11), "Rep Not Found")</f>
        <v>Rep Not Found</v>
      </c>
      <c r="G14" s="29" t="str">
        <f>_xlfn.IFNA(_xlfn.XLOOKUP(Orders!C14,'Employee Lookup'!$A$4:$A$11,'Employee Lookup'!$C$4:$C$11), "Region Not Found")</f>
        <v>Region Not Found</v>
      </c>
      <c r="H14" s="29" t="str">
        <f>IFERROR(INDEX('Product Lookup'!$B$4:$B$15,MATCH(D14,'Product Lookup'!$A$4:$A$15,0)),"Product Not Found")</f>
        <v>Desk Planner</v>
      </c>
      <c r="I14" s="29" t="str">
        <f>IFERROR(VLOOKUP(Orders!D14,'Product Lookup'!$A$4:$D$15,3), "Category Not Found")</f>
        <v>Stationery</v>
      </c>
      <c r="J14" s="30">
        <f>VLOOKUP(Orders!D14,'Product Lookup'!$A$4:$D$15,4)</f>
        <v>14</v>
      </c>
      <c r="K14" s="31">
        <f t="shared" si="0"/>
        <v>70</v>
      </c>
    </row>
    <row r="15" spans="1:11">
      <c r="A15" s="17" t="s">
        <v>34</v>
      </c>
      <c r="B15" s="2">
        <v>45435</v>
      </c>
      <c r="C15" s="1" t="s">
        <v>14</v>
      </c>
      <c r="D15" s="1" t="s">
        <v>24</v>
      </c>
      <c r="E15" s="1">
        <v>10</v>
      </c>
      <c r="F15" s="1" t="str">
        <f>_xlfn.IFNA(_xlfn.XLOOKUP(C15,'Employee Lookup'!$A$4:$A$11,'Employee Lookup'!$B$4:$B$11), "Rep Not Found")</f>
        <v>Han Sooyoung</v>
      </c>
      <c r="G15" s="1" t="str">
        <f>_xlfn.IFNA(_xlfn.XLOOKUP(Orders!C15,'Employee Lookup'!$A$4:$A$11,'Employee Lookup'!$C$4:$C$11), "Region Not Found")</f>
        <v>East</v>
      </c>
      <c r="H15" s="1" t="str">
        <f>IFERROR(INDEX('Product Lookup'!$B$4:$B$15,MATCH(D15,'Product Lookup'!$A$4:$A$15,0)),"Product Not Found")</f>
        <v>Mechanical Keyboard</v>
      </c>
      <c r="I15" s="1" t="str">
        <f>IFERROR(VLOOKUP(Orders!D15,'Product Lookup'!$A$4:$D$15,3), "Category Not Found")</f>
        <v>Electronics</v>
      </c>
      <c r="J15" s="12">
        <f>VLOOKUP(Orders!D15,'Product Lookup'!$A$4:$D$15,4)</f>
        <v>74.5</v>
      </c>
      <c r="K15" s="18">
        <f t="shared" si="0"/>
        <v>745</v>
      </c>
    </row>
    <row r="16" spans="1:11" s="32" customFormat="1">
      <c r="A16" s="27" t="s">
        <v>35</v>
      </c>
      <c r="B16" s="28">
        <v>45438</v>
      </c>
      <c r="C16" s="29" t="s">
        <v>23</v>
      </c>
      <c r="D16" s="29" t="s">
        <v>36</v>
      </c>
      <c r="E16" s="29">
        <v>2</v>
      </c>
      <c r="F16" s="29" t="str">
        <f>_xlfn.IFNA(_xlfn.XLOOKUP(C16,'Employee Lookup'!$A$4:$A$11,'Employee Lookup'!$B$4:$B$11), "Rep Not Found")</f>
        <v>Isabella Cruz</v>
      </c>
      <c r="G16" s="29" t="str">
        <f>_xlfn.IFNA(_xlfn.XLOOKUP(Orders!C16,'Employee Lookup'!$A$4:$A$11,'Employee Lookup'!$C$4:$C$11), "Region Not Found")</f>
        <v>West</v>
      </c>
      <c r="H16" s="29" t="str">
        <f>IFERROR(INDEX('Product Lookup'!$B$4:$B$15,MATCH(D16,'Product Lookup'!$A$4:$A$15,0)),"Product Not Found")</f>
        <v>Ergonomic Chair</v>
      </c>
      <c r="I16" s="29" t="str">
        <f>IFERROR(VLOOKUP(Orders!D16,'Product Lookup'!$A$4:$D$15,3), "Category Not Found")</f>
        <v>Furniture</v>
      </c>
      <c r="J16" s="30">
        <f>VLOOKUP(Orders!D16,'Product Lookup'!$A$4:$D$15,4)</f>
        <v>219</v>
      </c>
      <c r="K16" s="31">
        <f t="shared" si="0"/>
        <v>438</v>
      </c>
    </row>
    <row r="17" spans="1:11">
      <c r="A17" s="17" t="s">
        <v>37</v>
      </c>
      <c r="B17" s="2">
        <v>45432</v>
      </c>
      <c r="C17" s="1" t="s">
        <v>17</v>
      </c>
      <c r="D17" s="1" t="s">
        <v>26</v>
      </c>
      <c r="E17" s="1">
        <v>1</v>
      </c>
      <c r="F17" s="1" t="str">
        <f>_xlfn.IFNA(_xlfn.XLOOKUP(C17,'Employee Lookup'!$A$4:$A$11,'Employee Lookup'!$B$4:$B$11), "Rep Not Found")</f>
        <v>Fatima Bello</v>
      </c>
      <c r="G17" s="1" t="str">
        <f>_xlfn.IFNA(_xlfn.XLOOKUP(Orders!C17,'Employee Lookup'!$A$4:$A$11,'Employee Lookup'!$C$4:$C$11), "Region Not Found")</f>
        <v>South</v>
      </c>
      <c r="H17" s="1" t="str">
        <f>IFERROR(INDEX('Product Lookup'!$B$4:$B$15,MATCH(D17,'Product Lookup'!$A$4:$A$15,0)),"Product Not Found")</f>
        <v>Desk Planner</v>
      </c>
      <c r="I17" s="1" t="str">
        <f>IFERROR(VLOOKUP(Orders!D17,'Product Lookup'!$A$4:$D$15,3), "Category Not Found")</f>
        <v>Stationery</v>
      </c>
      <c r="J17" s="12">
        <f>VLOOKUP(Orders!D17,'Product Lookup'!$A$4:$D$15,4)</f>
        <v>14</v>
      </c>
      <c r="K17" s="18">
        <f t="shared" si="0"/>
        <v>14</v>
      </c>
    </row>
    <row r="18" spans="1:11" s="32" customFormat="1">
      <c r="A18" s="27" t="s">
        <v>38</v>
      </c>
      <c r="B18" s="28">
        <v>45450</v>
      </c>
      <c r="C18" s="29" t="s">
        <v>23</v>
      </c>
      <c r="D18" s="29" t="s">
        <v>39</v>
      </c>
      <c r="E18" s="29">
        <v>11</v>
      </c>
      <c r="F18" s="29" t="str">
        <f>_xlfn.IFNA(_xlfn.XLOOKUP(C18,'Employee Lookup'!$A$4:$A$11,'Employee Lookup'!$B$4:$B$11), "Rep Not Found")</f>
        <v>Isabella Cruz</v>
      </c>
      <c r="G18" s="29" t="str">
        <f>_xlfn.IFNA(_xlfn.XLOOKUP(Orders!C18,'Employee Lookup'!$A$4:$A$11,'Employee Lookup'!$C$4:$C$11), "Region Not Found")</f>
        <v>West</v>
      </c>
      <c r="H18" s="29" t="str">
        <f>IFERROR(INDEX('Product Lookup'!$B$4:$B$15,MATCH(D18,'Product Lookup'!$A$4:$A$15,0)),"Product Not Found")</f>
        <v>Sticky Note Pack</v>
      </c>
      <c r="I18" s="29" t="str">
        <f>IFERROR(VLOOKUP(Orders!D18,'Product Lookup'!$A$4:$D$15,3), "Category Not Found")</f>
        <v>Stationery</v>
      </c>
      <c r="J18" s="30">
        <f>VLOOKUP(Orders!D18,'Product Lookup'!$A$4:$D$15,4)</f>
        <v>6.25</v>
      </c>
      <c r="K18" s="31">
        <f t="shared" si="0"/>
        <v>68.75</v>
      </c>
    </row>
    <row r="19" spans="1:11">
      <c r="A19" s="17" t="s">
        <v>40</v>
      </c>
      <c r="B19" s="2">
        <v>45428</v>
      </c>
      <c r="C19" s="1" t="s">
        <v>41</v>
      </c>
      <c r="D19" s="1" t="s">
        <v>36</v>
      </c>
      <c r="E19" s="1">
        <v>8</v>
      </c>
      <c r="F19" s="1" t="str">
        <f>_xlfn.IFNA(_xlfn.XLOOKUP(C19,'Employee Lookup'!$A$4:$A$11,'Employee Lookup'!$B$4:$B$11), "Rep Not Found")</f>
        <v>Tom Fitzgerald</v>
      </c>
      <c r="G19" s="1" t="str">
        <f>_xlfn.IFNA(_xlfn.XLOOKUP(Orders!C19,'Employee Lookup'!$A$4:$A$11,'Employee Lookup'!$C$4:$C$11), "Region Not Found")</f>
        <v>East</v>
      </c>
      <c r="H19" s="1" t="str">
        <f>IFERROR(INDEX('Product Lookup'!$B$4:$B$15,MATCH(D19,'Product Lookup'!$A$4:$A$15,0)),"Product Not Found")</f>
        <v>Ergonomic Chair</v>
      </c>
      <c r="I19" s="1" t="str">
        <f>IFERROR(VLOOKUP(Orders!D19,'Product Lookup'!$A$4:$D$15,3), "Category Not Found")</f>
        <v>Furniture</v>
      </c>
      <c r="J19" s="12">
        <f>VLOOKUP(Orders!D19,'Product Lookup'!$A$4:$D$15,4)</f>
        <v>219</v>
      </c>
      <c r="K19" s="18">
        <f t="shared" si="0"/>
        <v>1752</v>
      </c>
    </row>
    <row r="20" spans="1:11" s="32" customFormat="1">
      <c r="A20" s="27" t="s">
        <v>42</v>
      </c>
      <c r="B20" s="28">
        <v>45441</v>
      </c>
      <c r="C20" s="29" t="s">
        <v>43</v>
      </c>
      <c r="D20" s="29" t="s">
        <v>36</v>
      </c>
      <c r="E20" s="29">
        <v>5</v>
      </c>
      <c r="F20" s="29" t="str">
        <f>_xlfn.IFNA(_xlfn.XLOOKUP(C20,'Employee Lookup'!$A$4:$A$11,'Employee Lookup'!$B$4:$B$11), "Rep Not Found")</f>
        <v>Aiko Yamamoto</v>
      </c>
      <c r="G20" s="29" t="str">
        <f>_xlfn.IFNA(_xlfn.XLOOKUP(Orders!C20,'Employee Lookup'!$A$4:$A$11,'Employee Lookup'!$C$4:$C$11), "Region Not Found")</f>
        <v>West</v>
      </c>
      <c r="H20" s="29" t="str">
        <f>IFERROR(INDEX('Product Lookup'!$B$4:$B$15,MATCH(D20,'Product Lookup'!$A$4:$A$15,0)),"Product Not Found")</f>
        <v>Ergonomic Chair</v>
      </c>
      <c r="I20" s="29" t="str">
        <f>IFERROR(VLOOKUP(Orders!D20,'Product Lookup'!$A$4:$D$15,3), "Category Not Found")</f>
        <v>Furniture</v>
      </c>
      <c r="J20" s="30">
        <f>VLOOKUP(Orders!D20,'Product Lookup'!$A$4:$D$15,4)</f>
        <v>219</v>
      </c>
      <c r="K20" s="31">
        <f t="shared" si="0"/>
        <v>1095</v>
      </c>
    </row>
    <row r="21" spans="1:11">
      <c r="A21" s="17" t="s">
        <v>44</v>
      </c>
      <c r="B21" s="2">
        <v>45355</v>
      </c>
      <c r="C21" s="1" t="s">
        <v>14</v>
      </c>
      <c r="D21" s="1" t="s">
        <v>45</v>
      </c>
      <c r="E21" s="1">
        <v>13</v>
      </c>
      <c r="F21" s="1" t="str">
        <f>_xlfn.IFNA(_xlfn.XLOOKUP(C21,'Employee Lookup'!$A$4:$A$11,'Employee Lookup'!$B$4:$B$11), "Rep Not Found")</f>
        <v>Han Sooyoung</v>
      </c>
      <c r="G21" s="1" t="str">
        <f>_xlfn.IFNA(_xlfn.XLOOKUP(Orders!C21,'Employee Lookup'!$A$4:$A$11,'Employee Lookup'!$C$4:$C$11), "Region Not Found")</f>
        <v>East</v>
      </c>
      <c r="H21" s="1" t="str">
        <f>IFERROR(INDEX('Product Lookup'!$B$4:$B$15,MATCH(D21,'Product Lookup'!$A$4:$A$15,0)),"Product Not Found")</f>
        <v>Design Suite License</v>
      </c>
      <c r="I21" s="1" t="str">
        <f>IFERROR(VLOOKUP(Orders!D21,'Product Lookup'!$A$4:$D$15,3), "Category Not Found")</f>
        <v>Software</v>
      </c>
      <c r="J21" s="12">
        <f>VLOOKUP(Orders!D21,'Product Lookup'!$A$4:$D$15,4)</f>
        <v>199</v>
      </c>
      <c r="K21" s="18">
        <f t="shared" si="0"/>
        <v>2587</v>
      </c>
    </row>
    <row r="22" spans="1:11" s="32" customFormat="1">
      <c r="A22" s="27" t="s">
        <v>46</v>
      </c>
      <c r="B22" s="28">
        <v>45354</v>
      </c>
      <c r="C22" s="29" t="s">
        <v>17</v>
      </c>
      <c r="D22" s="29" t="s">
        <v>26</v>
      </c>
      <c r="E22" s="29">
        <v>5</v>
      </c>
      <c r="F22" s="29" t="str">
        <f>_xlfn.IFNA(_xlfn.XLOOKUP(C22,'Employee Lookup'!$A$4:$A$11,'Employee Lookup'!$B$4:$B$11), "Rep Not Found")</f>
        <v>Fatima Bello</v>
      </c>
      <c r="G22" s="29" t="str">
        <f>_xlfn.IFNA(_xlfn.XLOOKUP(Orders!C22,'Employee Lookup'!$A$4:$A$11,'Employee Lookup'!$C$4:$C$11), "Region Not Found")</f>
        <v>South</v>
      </c>
      <c r="H22" s="29" t="str">
        <f>IFERROR(INDEX('Product Lookup'!$B$4:$B$15,MATCH(D22,'Product Lookup'!$A$4:$A$15,0)),"Product Not Found")</f>
        <v>Desk Planner</v>
      </c>
      <c r="I22" s="29" t="str">
        <f>IFERROR(VLOOKUP(Orders!D22,'Product Lookup'!$A$4:$D$15,3), "Category Not Found")</f>
        <v>Stationery</v>
      </c>
      <c r="J22" s="30">
        <f>VLOOKUP(Orders!D22,'Product Lookup'!$A$4:$D$15,4)</f>
        <v>14</v>
      </c>
      <c r="K22" s="31">
        <f t="shared" si="0"/>
        <v>70</v>
      </c>
    </row>
    <row r="23" spans="1:11">
      <c r="A23" s="17" t="s">
        <v>47</v>
      </c>
      <c r="B23" s="2">
        <v>45426</v>
      </c>
      <c r="C23" s="1" t="s">
        <v>43</v>
      </c>
      <c r="D23" s="1" t="s">
        <v>36</v>
      </c>
      <c r="E23" s="1">
        <v>12</v>
      </c>
      <c r="F23" s="1" t="str">
        <f>_xlfn.IFNA(_xlfn.XLOOKUP(C23,'Employee Lookup'!$A$4:$A$11,'Employee Lookup'!$B$4:$B$11), "Rep Not Found")</f>
        <v>Aiko Yamamoto</v>
      </c>
      <c r="G23" s="1" t="str">
        <f>_xlfn.IFNA(_xlfn.XLOOKUP(Orders!C23,'Employee Lookup'!$A$4:$A$11,'Employee Lookup'!$C$4:$C$11), "Region Not Found")</f>
        <v>West</v>
      </c>
      <c r="H23" s="1" t="str">
        <f>IFERROR(INDEX('Product Lookup'!$B$4:$B$15,MATCH(D23,'Product Lookup'!$A$4:$A$15,0)),"Product Not Found")</f>
        <v>Ergonomic Chair</v>
      </c>
      <c r="I23" s="1" t="str">
        <f>IFERROR(VLOOKUP(Orders!D23,'Product Lookup'!$A$4:$D$15,3), "Category Not Found")</f>
        <v>Furniture</v>
      </c>
      <c r="J23" s="12">
        <f>VLOOKUP(Orders!D23,'Product Lookup'!$A$4:$D$15,4)</f>
        <v>219</v>
      </c>
      <c r="K23" s="18">
        <f t="shared" si="0"/>
        <v>2628</v>
      </c>
    </row>
    <row r="24" spans="1:11" s="32" customFormat="1">
      <c r="A24" s="27" t="s">
        <v>48</v>
      </c>
      <c r="B24" s="28">
        <v>45406</v>
      </c>
      <c r="C24" s="29" t="s">
        <v>49</v>
      </c>
      <c r="D24" s="29" t="s">
        <v>26</v>
      </c>
      <c r="E24" s="29">
        <v>2</v>
      </c>
      <c r="F24" s="29" t="str">
        <f>_xlfn.IFNA(_xlfn.XLOOKUP(C24,'Employee Lookup'!$A$4:$A$11,'Employee Lookup'!$B$4:$B$11), "Rep Not Found")</f>
        <v>David Osei</v>
      </c>
      <c r="G24" s="29" t="str">
        <f>_xlfn.IFNA(_xlfn.XLOOKUP(Orders!C24,'Employee Lookup'!$A$4:$A$11,'Employee Lookup'!$C$4:$C$11), "Region Not Found")</f>
        <v>North</v>
      </c>
      <c r="H24" s="29" t="str">
        <f>IFERROR(INDEX('Product Lookup'!$B$4:$B$15,MATCH(D24,'Product Lookup'!$A$4:$A$15,0)),"Product Not Found")</f>
        <v>Desk Planner</v>
      </c>
      <c r="I24" s="29" t="str">
        <f>IFERROR(VLOOKUP(Orders!D24,'Product Lookup'!$A$4:$D$15,3), "Category Not Found")</f>
        <v>Stationery</v>
      </c>
      <c r="J24" s="30">
        <f>VLOOKUP(Orders!D24,'Product Lookup'!$A$4:$D$15,4)</f>
        <v>14</v>
      </c>
      <c r="K24" s="31">
        <f t="shared" si="0"/>
        <v>28</v>
      </c>
    </row>
    <row r="25" spans="1:11">
      <c r="A25" s="17" t="s">
        <v>50</v>
      </c>
      <c r="B25" s="2">
        <v>45322</v>
      </c>
      <c r="C25" s="1" t="s">
        <v>41</v>
      </c>
      <c r="D25" s="1" t="s">
        <v>51</v>
      </c>
      <c r="E25" s="1">
        <v>13</v>
      </c>
      <c r="F25" s="1" t="str">
        <f>_xlfn.IFNA(_xlfn.XLOOKUP(C25,'Employee Lookup'!$A$4:$A$11,'Employee Lookup'!$B$4:$B$11), "Rep Not Found")</f>
        <v>Tom Fitzgerald</v>
      </c>
      <c r="G25" s="1" t="str">
        <f>_xlfn.IFNA(_xlfn.XLOOKUP(Orders!C25,'Employee Lookup'!$A$4:$A$11,'Employee Lookup'!$C$4:$C$11), "Region Not Found")</f>
        <v>East</v>
      </c>
      <c r="H25" s="1" t="str">
        <f>IFERROR(INDEX('Product Lookup'!$B$4:$B$15,MATCH(D25,'Product Lookup'!$A$4:$A$15,0)),"Product Not Found")</f>
        <v>USB-C Hub</v>
      </c>
      <c r="I25" s="1" t="str">
        <f>IFERROR(VLOOKUP(Orders!D25,'Product Lookup'!$A$4:$D$15,3), "Category Not Found")</f>
        <v>Electronics</v>
      </c>
      <c r="J25" s="12">
        <f>VLOOKUP(Orders!D25,'Product Lookup'!$A$4:$D$15,4)</f>
        <v>39</v>
      </c>
      <c r="K25" s="18">
        <f t="shared" si="0"/>
        <v>507</v>
      </c>
    </row>
    <row r="26" spans="1:11" s="32" customFormat="1">
      <c r="A26" s="27" t="s">
        <v>52</v>
      </c>
      <c r="B26" s="28">
        <v>45379</v>
      </c>
      <c r="C26" s="29" t="s">
        <v>14</v>
      </c>
      <c r="D26" s="29" t="s">
        <v>39</v>
      </c>
      <c r="E26" s="29">
        <v>7</v>
      </c>
      <c r="F26" s="29" t="str">
        <f>_xlfn.IFNA(_xlfn.XLOOKUP(C26,'Employee Lookup'!$A$4:$A$11,'Employee Lookup'!$B$4:$B$11), "Rep Not Found")</f>
        <v>Han Sooyoung</v>
      </c>
      <c r="G26" s="29" t="str">
        <f>_xlfn.IFNA(_xlfn.XLOOKUP(Orders!C26,'Employee Lookup'!$A$4:$A$11,'Employee Lookup'!$C$4:$C$11), "Region Not Found")</f>
        <v>East</v>
      </c>
      <c r="H26" s="29" t="str">
        <f>IFERROR(INDEX('Product Lookup'!$B$4:$B$15,MATCH(D26,'Product Lookup'!$A$4:$A$15,0)),"Product Not Found")</f>
        <v>Sticky Note Pack</v>
      </c>
      <c r="I26" s="29" t="str">
        <f>IFERROR(VLOOKUP(Orders!D26,'Product Lookup'!$A$4:$D$15,3), "Category Not Found")</f>
        <v>Stationery</v>
      </c>
      <c r="J26" s="30">
        <f>VLOOKUP(Orders!D26,'Product Lookup'!$A$4:$D$15,4)</f>
        <v>6.25</v>
      </c>
      <c r="K26" s="31">
        <f t="shared" si="0"/>
        <v>43.75</v>
      </c>
    </row>
    <row r="27" spans="1:11">
      <c r="A27" s="17" t="s">
        <v>53</v>
      </c>
      <c r="B27" s="2">
        <v>45302</v>
      </c>
      <c r="C27" s="1" t="s">
        <v>17</v>
      </c>
      <c r="D27" s="1" t="s">
        <v>18</v>
      </c>
      <c r="E27" s="1">
        <v>10</v>
      </c>
      <c r="F27" s="1" t="str">
        <f>_xlfn.IFNA(_xlfn.XLOOKUP(C27,'Employee Lookup'!$A$4:$A$11,'Employee Lookup'!$B$4:$B$11), "Rep Not Found")</f>
        <v>Fatima Bello</v>
      </c>
      <c r="G27" s="1" t="str">
        <f>_xlfn.IFNA(_xlfn.XLOOKUP(Orders!C27,'Employee Lookup'!$A$4:$A$11,'Employee Lookup'!$C$4:$C$11), "Region Not Found")</f>
        <v>South</v>
      </c>
      <c r="H27" s="1" t="str">
        <f>IFERROR(INDEX('Product Lookup'!$B$4:$B$15,MATCH(D27,'Product Lookup'!$A$4:$A$15,0)),"Product Not Found")</f>
        <v>Fountain Pen Set</v>
      </c>
      <c r="I27" s="1" t="str">
        <f>IFERROR(VLOOKUP(Orders!D27,'Product Lookup'!$A$4:$D$15,3), "Category Not Found")</f>
        <v>Stationery</v>
      </c>
      <c r="J27" s="12">
        <f>VLOOKUP(Orders!D27,'Product Lookup'!$A$4:$D$15,4)</f>
        <v>18.5</v>
      </c>
      <c r="K27" s="18">
        <f t="shared" si="0"/>
        <v>185</v>
      </c>
    </row>
    <row r="28" spans="1:11" s="32" customFormat="1">
      <c r="A28" s="27" t="s">
        <v>54</v>
      </c>
      <c r="B28" s="28">
        <v>45372</v>
      </c>
      <c r="C28" s="29" t="s">
        <v>55</v>
      </c>
      <c r="D28" s="29" t="s">
        <v>45</v>
      </c>
      <c r="E28" s="29">
        <v>6</v>
      </c>
      <c r="F28" s="29" t="str">
        <f>_xlfn.IFNA(_xlfn.XLOOKUP(C28,'Employee Lookup'!$A$4:$A$11,'Employee Lookup'!$B$4:$B$11), "Rep Not Found")</f>
        <v>Priya Nair</v>
      </c>
      <c r="G28" s="29" t="str">
        <f>_xlfn.IFNA(_xlfn.XLOOKUP(Orders!C28,'Employee Lookup'!$A$4:$A$11,'Employee Lookup'!$C$4:$C$11), "Region Not Found")</f>
        <v>South</v>
      </c>
      <c r="H28" s="29" t="str">
        <f>IFERROR(INDEX('Product Lookup'!$B$4:$B$15,MATCH(D28,'Product Lookup'!$A$4:$A$15,0)),"Product Not Found")</f>
        <v>Design Suite License</v>
      </c>
      <c r="I28" s="29" t="str">
        <f>IFERROR(VLOOKUP(Orders!D28,'Product Lookup'!$A$4:$D$15,3), "Category Not Found")</f>
        <v>Software</v>
      </c>
      <c r="J28" s="30">
        <f>VLOOKUP(Orders!D28,'Product Lookup'!$A$4:$D$15,4)</f>
        <v>199</v>
      </c>
      <c r="K28" s="31">
        <f t="shared" si="0"/>
        <v>1194</v>
      </c>
    </row>
    <row r="29" spans="1:11">
      <c r="A29" s="17" t="s">
        <v>56</v>
      </c>
      <c r="B29" s="2">
        <v>45444</v>
      </c>
      <c r="C29" s="1" t="s">
        <v>43</v>
      </c>
      <c r="D29" s="1" t="s">
        <v>26</v>
      </c>
      <c r="E29" s="1">
        <v>13</v>
      </c>
      <c r="F29" s="1" t="str">
        <f>_xlfn.IFNA(_xlfn.XLOOKUP(C29,'Employee Lookup'!$A$4:$A$11,'Employee Lookup'!$B$4:$B$11), "Rep Not Found")</f>
        <v>Aiko Yamamoto</v>
      </c>
      <c r="G29" s="1" t="str">
        <f>_xlfn.IFNA(_xlfn.XLOOKUP(Orders!C29,'Employee Lookup'!$A$4:$A$11,'Employee Lookup'!$C$4:$C$11), "Region Not Found")</f>
        <v>West</v>
      </c>
      <c r="H29" s="1" t="str">
        <f>IFERROR(INDEX('Product Lookup'!$B$4:$B$15,MATCH(D29,'Product Lookup'!$A$4:$A$15,0)),"Product Not Found")</f>
        <v>Desk Planner</v>
      </c>
      <c r="I29" s="1" t="str">
        <f>IFERROR(VLOOKUP(Orders!D29,'Product Lookup'!$A$4:$D$15,3), "Category Not Found")</f>
        <v>Stationery</v>
      </c>
      <c r="J29" s="12">
        <f>VLOOKUP(Orders!D29,'Product Lookup'!$A$4:$D$15,4)</f>
        <v>14</v>
      </c>
      <c r="K29" s="18">
        <f t="shared" si="0"/>
        <v>182</v>
      </c>
    </row>
    <row r="30" spans="1:11" s="32" customFormat="1">
      <c r="A30" s="27" t="s">
        <v>57</v>
      </c>
      <c r="B30" s="28">
        <v>45408</v>
      </c>
      <c r="C30" s="29" t="s">
        <v>17</v>
      </c>
      <c r="D30" s="29" t="s">
        <v>24</v>
      </c>
      <c r="E30" s="29">
        <v>5</v>
      </c>
      <c r="F30" s="29" t="str">
        <f>_xlfn.IFNA(_xlfn.XLOOKUP(C30,'Employee Lookup'!$A$4:$A$11,'Employee Lookup'!$B$4:$B$11), "Rep Not Found")</f>
        <v>Fatima Bello</v>
      </c>
      <c r="G30" s="29" t="str">
        <f>_xlfn.IFNA(_xlfn.XLOOKUP(Orders!C30,'Employee Lookup'!$A$4:$A$11,'Employee Lookup'!$C$4:$C$11), "Region Not Found")</f>
        <v>South</v>
      </c>
      <c r="H30" s="29" t="str">
        <f>IFERROR(INDEX('Product Lookup'!$B$4:$B$15,MATCH(D30,'Product Lookup'!$A$4:$A$15,0)),"Product Not Found")</f>
        <v>Mechanical Keyboard</v>
      </c>
      <c r="I30" s="29" t="str">
        <f>IFERROR(VLOOKUP(Orders!D30,'Product Lookup'!$A$4:$D$15,3), "Category Not Found")</f>
        <v>Electronics</v>
      </c>
      <c r="J30" s="30">
        <f>VLOOKUP(Orders!D30,'Product Lookup'!$A$4:$D$15,4)</f>
        <v>74.5</v>
      </c>
      <c r="K30" s="31">
        <f t="shared" si="0"/>
        <v>372.5</v>
      </c>
    </row>
    <row r="31" spans="1:11">
      <c r="A31" s="17" t="s">
        <v>58</v>
      </c>
      <c r="B31" s="2">
        <v>45413</v>
      </c>
      <c r="C31" s="1" t="s">
        <v>17</v>
      </c>
      <c r="D31" s="1" t="s">
        <v>59</v>
      </c>
      <c r="E31" s="1">
        <v>12</v>
      </c>
      <c r="F31" s="1" t="str">
        <f>_xlfn.IFNA(_xlfn.XLOOKUP(C31,'Employee Lookup'!$A$4:$A$11,'Employee Lookup'!$B$4:$B$11), "Rep Not Found")</f>
        <v>Fatima Bello</v>
      </c>
      <c r="G31" s="1" t="str">
        <f>_xlfn.IFNA(_xlfn.XLOOKUP(Orders!C31,'Employee Lookup'!$A$4:$A$11,'Employee Lookup'!$C$4:$C$11), "Region Not Found")</f>
        <v>South</v>
      </c>
      <c r="H31" s="1" t="str">
        <f>IFERROR(INDEX('Product Lookup'!$B$4:$B$15,MATCH(D31,'Product Lookup'!$A$4:$A$15,0)),"Product Not Found")</f>
        <v>Wireless Mouse</v>
      </c>
      <c r="I31" s="1" t="str">
        <f>IFERROR(VLOOKUP(Orders!D31,'Product Lookup'!$A$4:$D$15,3), "Category Not Found")</f>
        <v>Electronics</v>
      </c>
      <c r="J31" s="12">
        <f>VLOOKUP(Orders!D31,'Product Lookup'!$A$4:$D$15,4)</f>
        <v>24.99</v>
      </c>
      <c r="K31" s="18">
        <f t="shared" si="0"/>
        <v>299.88</v>
      </c>
    </row>
    <row r="32" spans="1:11" s="32" customFormat="1">
      <c r="A32" s="27" t="s">
        <v>60</v>
      </c>
      <c r="B32" s="28">
        <v>45471</v>
      </c>
      <c r="C32" s="29" t="s">
        <v>49</v>
      </c>
      <c r="D32" s="29" t="s">
        <v>61</v>
      </c>
      <c r="E32" s="29">
        <v>10</v>
      </c>
      <c r="F32" s="29" t="str">
        <f>_xlfn.IFNA(_xlfn.XLOOKUP(C32,'Employee Lookup'!$A$4:$A$11,'Employee Lookup'!$B$4:$B$11), "Rep Not Found")</f>
        <v>David Osei</v>
      </c>
      <c r="G32" s="29" t="str">
        <f>_xlfn.IFNA(_xlfn.XLOOKUP(Orders!C32,'Employee Lookup'!$A$4:$A$11,'Employee Lookup'!$C$4:$C$11), "Region Not Found")</f>
        <v>North</v>
      </c>
      <c r="H32" s="29" t="str">
        <f>IFERROR(INDEX('Product Lookup'!$B$4:$B$15,MATCH(D32,'Product Lookup'!$A$4:$A$15,0)),"Product Not Found")</f>
        <v>Product Not Found</v>
      </c>
      <c r="I32" s="29" t="str">
        <f>IFERROR(VLOOKUP(Orders!D32,'Product Lookup'!$A$4:$D$15,3), "Category Not Found")</f>
        <v>Software</v>
      </c>
      <c r="J32" s="30">
        <f>VLOOKUP(Orders!D32,'Product Lookup'!$A$4:$D$15,4)</f>
        <v>199</v>
      </c>
      <c r="K32" s="31">
        <f t="shared" si="0"/>
        <v>1990</v>
      </c>
    </row>
    <row r="33" spans="1:11">
      <c r="A33" s="17" t="s">
        <v>62</v>
      </c>
      <c r="B33" s="2">
        <v>45466</v>
      </c>
      <c r="C33" s="1" t="s">
        <v>43</v>
      </c>
      <c r="D33" s="1" t="s">
        <v>31</v>
      </c>
      <c r="E33" s="1">
        <v>12</v>
      </c>
      <c r="F33" s="1" t="str">
        <f>_xlfn.IFNA(_xlfn.XLOOKUP(C33,'Employee Lookup'!$A$4:$A$11,'Employee Lookup'!$B$4:$B$11), "Rep Not Found")</f>
        <v>Aiko Yamamoto</v>
      </c>
      <c r="G33" s="1" t="str">
        <f>_xlfn.IFNA(_xlfn.XLOOKUP(Orders!C33,'Employee Lookup'!$A$4:$A$11,'Employee Lookup'!$C$4:$C$11), "Region Not Found")</f>
        <v>West</v>
      </c>
      <c r="H33" s="1" t="str">
        <f>IFERROR(INDEX('Product Lookup'!$B$4:$B$15,MATCH(D33,'Product Lookup'!$A$4:$A$15,0)),"Product Not Found")</f>
        <v>Standing Desk</v>
      </c>
      <c r="I33" s="1" t="str">
        <f>IFERROR(VLOOKUP(Orders!D33,'Product Lookup'!$A$4:$D$15,3), "Category Not Found")</f>
        <v>Furniture</v>
      </c>
      <c r="J33" s="12">
        <f>VLOOKUP(Orders!D33,'Product Lookup'!$A$4:$D$15,4)</f>
        <v>349</v>
      </c>
      <c r="K33" s="18">
        <f t="shared" si="0"/>
        <v>4188</v>
      </c>
    </row>
    <row r="34" spans="1:11" s="32" customFormat="1">
      <c r="A34" s="27" t="s">
        <v>63</v>
      </c>
      <c r="B34" s="28">
        <v>45390</v>
      </c>
      <c r="C34" s="29" t="s">
        <v>55</v>
      </c>
      <c r="D34" s="29" t="s">
        <v>59</v>
      </c>
      <c r="E34" s="29">
        <v>8</v>
      </c>
      <c r="F34" s="29" t="str">
        <f>_xlfn.IFNA(_xlfn.XLOOKUP(C34,'Employee Lookup'!$A$4:$A$11,'Employee Lookup'!$B$4:$B$11), "Rep Not Found")</f>
        <v>Priya Nair</v>
      </c>
      <c r="G34" s="29" t="str">
        <f>_xlfn.IFNA(_xlfn.XLOOKUP(Orders!C34,'Employee Lookup'!$A$4:$A$11,'Employee Lookup'!$C$4:$C$11), "Region Not Found")</f>
        <v>South</v>
      </c>
      <c r="H34" s="29" t="str">
        <f>IFERROR(INDEX('Product Lookup'!$B$4:$B$15,MATCH(D34,'Product Lookup'!$A$4:$A$15,0)),"Product Not Found")</f>
        <v>Wireless Mouse</v>
      </c>
      <c r="I34" s="29" t="str">
        <f>IFERROR(VLOOKUP(Orders!D34,'Product Lookup'!$A$4:$D$15,3), "Category Not Found")</f>
        <v>Electronics</v>
      </c>
      <c r="J34" s="30">
        <f>VLOOKUP(Orders!D34,'Product Lookup'!$A$4:$D$15,4)</f>
        <v>24.99</v>
      </c>
      <c r="K34" s="31">
        <f t="shared" si="0"/>
        <v>199.92</v>
      </c>
    </row>
    <row r="35" spans="1:11">
      <c r="A35" s="17" t="s">
        <v>64</v>
      </c>
      <c r="B35" s="2">
        <v>45382</v>
      </c>
      <c r="C35" s="1" t="s">
        <v>14</v>
      </c>
      <c r="D35" s="1" t="s">
        <v>26</v>
      </c>
      <c r="E35" s="1">
        <v>2</v>
      </c>
      <c r="F35" s="1" t="str">
        <f>_xlfn.IFNA(_xlfn.XLOOKUP(C35,'Employee Lookup'!$A$4:$A$11,'Employee Lookup'!$B$4:$B$11), "Rep Not Found")</f>
        <v>Han Sooyoung</v>
      </c>
      <c r="G35" s="1" t="str">
        <f>_xlfn.IFNA(_xlfn.XLOOKUP(Orders!C35,'Employee Lookup'!$A$4:$A$11,'Employee Lookup'!$C$4:$C$11), "Region Not Found")</f>
        <v>East</v>
      </c>
      <c r="H35" s="1" t="str">
        <f>IFERROR(INDEX('Product Lookup'!$B$4:$B$15,MATCH(D35,'Product Lookup'!$A$4:$A$15,0)),"Product Not Found")</f>
        <v>Desk Planner</v>
      </c>
      <c r="I35" s="1" t="str">
        <f>IFERROR(VLOOKUP(Orders!D35,'Product Lookup'!$A$4:$D$15,3), "Category Not Found")</f>
        <v>Stationery</v>
      </c>
      <c r="J35" s="12">
        <f>VLOOKUP(Orders!D35,'Product Lookup'!$A$4:$D$15,4)</f>
        <v>14</v>
      </c>
      <c r="K35" s="18">
        <f t="shared" si="0"/>
        <v>28</v>
      </c>
    </row>
    <row r="36" spans="1:11" s="32" customFormat="1">
      <c r="A36" s="27" t="s">
        <v>65</v>
      </c>
      <c r="B36" s="28">
        <v>45418</v>
      </c>
      <c r="C36" s="29" t="s">
        <v>20</v>
      </c>
      <c r="D36" s="29" t="s">
        <v>29</v>
      </c>
      <c r="E36" s="29">
        <v>13</v>
      </c>
      <c r="F36" s="29" t="str">
        <f>_xlfn.IFNA(_xlfn.XLOOKUP(C36,'Employee Lookup'!$A$4:$A$11,'Employee Lookup'!$B$4:$B$11), "Rep Not Found")</f>
        <v>Marcus Lee</v>
      </c>
      <c r="G36" s="29" t="str">
        <f>_xlfn.IFNA(_xlfn.XLOOKUP(Orders!C36,'Employee Lookup'!$A$4:$A$11,'Employee Lookup'!$C$4:$C$11), "Region Not Found")</f>
        <v>North</v>
      </c>
      <c r="H36" s="29" t="str">
        <f>IFERROR(INDEX('Product Lookup'!$B$4:$B$15,MATCH(D36,'Product Lookup'!$A$4:$A$15,0)),"Product Not Found")</f>
        <v>Noise-Cancelling Headphones</v>
      </c>
      <c r="I36" s="29" t="str">
        <f>IFERROR(VLOOKUP(Orders!D36,'Product Lookup'!$A$4:$D$15,3), "Category Not Found")</f>
        <v>Electronics</v>
      </c>
      <c r="J36" s="30">
        <f>VLOOKUP(Orders!D36,'Product Lookup'!$A$4:$D$15,4)</f>
        <v>129.99</v>
      </c>
      <c r="K36" s="31">
        <f t="shared" si="0"/>
        <v>1689.8700000000001</v>
      </c>
    </row>
    <row r="37" spans="1:11">
      <c r="A37" s="17" t="s">
        <v>66</v>
      </c>
      <c r="B37" s="2">
        <v>45365</v>
      </c>
      <c r="C37" s="1" t="s">
        <v>14</v>
      </c>
      <c r="D37" s="1" t="s">
        <v>45</v>
      </c>
      <c r="E37" s="1">
        <v>4</v>
      </c>
      <c r="F37" s="1" t="str">
        <f>_xlfn.IFNA(_xlfn.XLOOKUP(C37,'Employee Lookup'!$A$4:$A$11,'Employee Lookup'!$B$4:$B$11), "Rep Not Found")</f>
        <v>Han Sooyoung</v>
      </c>
      <c r="G37" s="1" t="str">
        <f>_xlfn.IFNA(_xlfn.XLOOKUP(Orders!C37,'Employee Lookup'!$A$4:$A$11,'Employee Lookup'!$C$4:$C$11), "Region Not Found")</f>
        <v>East</v>
      </c>
      <c r="H37" s="1" t="str">
        <f>IFERROR(INDEX('Product Lookup'!$B$4:$B$15,MATCH(D37,'Product Lookup'!$A$4:$A$15,0)),"Product Not Found")</f>
        <v>Design Suite License</v>
      </c>
      <c r="I37" s="1" t="str">
        <f>IFERROR(VLOOKUP(Orders!D37,'Product Lookup'!$A$4:$D$15,3), "Category Not Found")</f>
        <v>Software</v>
      </c>
      <c r="J37" s="12">
        <f>VLOOKUP(Orders!D37,'Product Lookup'!$A$4:$D$15,4)</f>
        <v>199</v>
      </c>
      <c r="K37" s="18">
        <f t="shared" si="0"/>
        <v>796</v>
      </c>
    </row>
    <row r="38" spans="1:11" s="32" customFormat="1">
      <c r="A38" s="27" t="s">
        <v>67</v>
      </c>
      <c r="B38" s="28">
        <v>45393</v>
      </c>
      <c r="C38" s="29" t="s">
        <v>41</v>
      </c>
      <c r="D38" s="29" t="s">
        <v>39</v>
      </c>
      <c r="E38" s="29">
        <v>2</v>
      </c>
      <c r="F38" s="29" t="str">
        <f>_xlfn.IFNA(_xlfn.XLOOKUP(C38,'Employee Lookup'!$A$4:$A$11,'Employee Lookup'!$B$4:$B$11), "Rep Not Found")</f>
        <v>Tom Fitzgerald</v>
      </c>
      <c r="G38" s="29" t="str">
        <f>_xlfn.IFNA(_xlfn.XLOOKUP(Orders!C38,'Employee Lookup'!$A$4:$A$11,'Employee Lookup'!$C$4:$C$11), "Region Not Found")</f>
        <v>East</v>
      </c>
      <c r="H38" s="29" t="str">
        <f>IFERROR(INDEX('Product Lookup'!$B$4:$B$15,MATCH(D38,'Product Lookup'!$A$4:$A$15,0)),"Product Not Found")</f>
        <v>Sticky Note Pack</v>
      </c>
      <c r="I38" s="29" t="str">
        <f>IFERROR(VLOOKUP(Orders!D38,'Product Lookup'!$A$4:$D$15,3), "Category Not Found")</f>
        <v>Stationery</v>
      </c>
      <c r="J38" s="30">
        <f>VLOOKUP(Orders!D38,'Product Lookup'!$A$4:$D$15,4)</f>
        <v>6.25</v>
      </c>
      <c r="K38" s="31">
        <f t="shared" si="0"/>
        <v>12.5</v>
      </c>
    </row>
    <row r="39" spans="1:11">
      <c r="A39" s="17" t="s">
        <v>68</v>
      </c>
      <c r="B39" s="2">
        <v>45334</v>
      </c>
      <c r="C39" s="1" t="s">
        <v>43</v>
      </c>
      <c r="D39" s="1" t="s">
        <v>15</v>
      </c>
      <c r="E39" s="1">
        <v>9</v>
      </c>
      <c r="F39" s="1" t="str">
        <f>_xlfn.IFNA(_xlfn.XLOOKUP(C39,'Employee Lookup'!$A$4:$A$11,'Employee Lookup'!$B$4:$B$11), "Rep Not Found")</f>
        <v>Aiko Yamamoto</v>
      </c>
      <c r="G39" s="1" t="str">
        <f>_xlfn.IFNA(_xlfn.XLOOKUP(Orders!C39,'Employee Lookup'!$A$4:$A$11,'Employee Lookup'!$C$4:$C$11), "Region Not Found")</f>
        <v>West</v>
      </c>
      <c r="H39" s="1" t="str">
        <f>IFERROR(INDEX('Product Lookup'!$B$4:$B$15,MATCH(D39,'Product Lookup'!$A$4:$A$15,0)),"Product Not Found")</f>
        <v>Monitor Arm</v>
      </c>
      <c r="I39" s="1" t="str">
        <f>IFERROR(VLOOKUP(Orders!D39,'Product Lookup'!$A$4:$D$15,3), "Category Not Found")</f>
        <v>Furniture</v>
      </c>
      <c r="J39" s="12">
        <f>VLOOKUP(Orders!D39,'Product Lookup'!$A$4:$D$15,4)</f>
        <v>58.75</v>
      </c>
      <c r="K39" s="18">
        <f t="shared" si="0"/>
        <v>528.75</v>
      </c>
    </row>
    <row r="40" spans="1:11" s="32" customFormat="1">
      <c r="A40" s="27" t="s">
        <v>69</v>
      </c>
      <c r="B40" s="28">
        <v>45363</v>
      </c>
      <c r="C40" s="29" t="s">
        <v>14</v>
      </c>
      <c r="D40" s="29" t="s">
        <v>15</v>
      </c>
      <c r="E40" s="29">
        <v>14</v>
      </c>
      <c r="F40" s="29" t="str">
        <f>_xlfn.IFNA(_xlfn.XLOOKUP(C40,'Employee Lookup'!$A$4:$A$11,'Employee Lookup'!$B$4:$B$11), "Rep Not Found")</f>
        <v>Han Sooyoung</v>
      </c>
      <c r="G40" s="29" t="str">
        <f>_xlfn.IFNA(_xlfn.XLOOKUP(Orders!C40,'Employee Lookup'!$A$4:$A$11,'Employee Lookup'!$C$4:$C$11), "Region Not Found")</f>
        <v>East</v>
      </c>
      <c r="H40" s="29" t="str">
        <f>IFERROR(INDEX('Product Lookup'!$B$4:$B$15,MATCH(D40,'Product Lookup'!$A$4:$A$15,0)),"Product Not Found")</f>
        <v>Monitor Arm</v>
      </c>
      <c r="I40" s="29" t="str">
        <f>IFERROR(VLOOKUP(Orders!D40,'Product Lookup'!$A$4:$D$15,3), "Category Not Found")</f>
        <v>Furniture</v>
      </c>
      <c r="J40" s="30">
        <f>VLOOKUP(Orders!D40,'Product Lookup'!$A$4:$D$15,4)</f>
        <v>58.75</v>
      </c>
      <c r="K40" s="31">
        <f t="shared" si="0"/>
        <v>822.5</v>
      </c>
    </row>
    <row r="41" spans="1:11">
      <c r="A41" s="17" t="s">
        <v>70</v>
      </c>
      <c r="B41" s="2">
        <v>45432</v>
      </c>
      <c r="C41" s="1" t="s">
        <v>49</v>
      </c>
      <c r="D41" s="1" t="s">
        <v>45</v>
      </c>
      <c r="E41" s="1">
        <v>7</v>
      </c>
      <c r="F41" s="1" t="str">
        <f>_xlfn.IFNA(_xlfn.XLOOKUP(C41,'Employee Lookup'!$A$4:$A$11,'Employee Lookup'!$B$4:$B$11), "Rep Not Found")</f>
        <v>David Osei</v>
      </c>
      <c r="G41" s="1" t="str">
        <f>_xlfn.IFNA(_xlfn.XLOOKUP(Orders!C41,'Employee Lookup'!$A$4:$A$11,'Employee Lookup'!$C$4:$C$11), "Region Not Found")</f>
        <v>North</v>
      </c>
      <c r="H41" s="1" t="str">
        <f>IFERROR(INDEX('Product Lookup'!$B$4:$B$15,MATCH(D41,'Product Lookup'!$A$4:$A$15,0)),"Product Not Found")</f>
        <v>Design Suite License</v>
      </c>
      <c r="I41" s="1" t="str">
        <f>IFERROR(VLOOKUP(Orders!D41,'Product Lookup'!$A$4:$D$15,3), "Category Not Found")</f>
        <v>Software</v>
      </c>
      <c r="J41" s="12">
        <f>VLOOKUP(Orders!D41,'Product Lookup'!$A$4:$D$15,4)</f>
        <v>199</v>
      </c>
      <c r="K41" s="18">
        <f t="shared" si="0"/>
        <v>1393</v>
      </c>
    </row>
    <row r="42" spans="1:11" s="32" customFormat="1">
      <c r="A42" s="27" t="s">
        <v>71</v>
      </c>
      <c r="B42" s="28">
        <v>45383</v>
      </c>
      <c r="C42" s="29" t="s">
        <v>41</v>
      </c>
      <c r="D42" s="29" t="s">
        <v>29</v>
      </c>
      <c r="E42" s="29">
        <v>3</v>
      </c>
      <c r="F42" s="29" t="str">
        <f>_xlfn.IFNA(_xlfn.XLOOKUP(C42,'Employee Lookup'!$A$4:$A$11,'Employee Lookup'!$B$4:$B$11), "Rep Not Found")</f>
        <v>Tom Fitzgerald</v>
      </c>
      <c r="G42" s="29" t="str">
        <f>_xlfn.IFNA(_xlfn.XLOOKUP(Orders!C42,'Employee Lookup'!$A$4:$A$11,'Employee Lookup'!$C$4:$C$11), "Region Not Found")</f>
        <v>East</v>
      </c>
      <c r="H42" s="29" t="str">
        <f>IFERROR(INDEX('Product Lookup'!$B$4:$B$15,MATCH(D42,'Product Lookup'!$A$4:$A$15,0)),"Product Not Found")</f>
        <v>Noise-Cancelling Headphones</v>
      </c>
      <c r="I42" s="29" t="str">
        <f>IFERROR(VLOOKUP(Orders!D42,'Product Lookup'!$A$4:$D$15,3), "Category Not Found")</f>
        <v>Electronics</v>
      </c>
      <c r="J42" s="30">
        <f>VLOOKUP(Orders!D42,'Product Lookup'!$A$4:$D$15,4)</f>
        <v>129.99</v>
      </c>
      <c r="K42" s="31">
        <f t="shared" si="0"/>
        <v>389.97</v>
      </c>
    </row>
    <row r="43" spans="1:11">
      <c r="A43" s="17" t="s">
        <v>72</v>
      </c>
      <c r="B43" s="2">
        <v>45313</v>
      </c>
      <c r="C43" s="1" t="s">
        <v>14</v>
      </c>
      <c r="D43" s="1" t="s">
        <v>51</v>
      </c>
      <c r="E43" s="1">
        <v>4</v>
      </c>
      <c r="F43" s="1" t="str">
        <f>_xlfn.IFNA(_xlfn.XLOOKUP(C43,'Employee Lookup'!$A$4:$A$11,'Employee Lookup'!$B$4:$B$11), "Rep Not Found")</f>
        <v>Han Sooyoung</v>
      </c>
      <c r="G43" s="1" t="str">
        <f>_xlfn.IFNA(_xlfn.XLOOKUP(Orders!C43,'Employee Lookup'!$A$4:$A$11,'Employee Lookup'!$C$4:$C$11), "Region Not Found")</f>
        <v>East</v>
      </c>
      <c r="H43" s="1" t="str">
        <f>IFERROR(INDEX('Product Lookup'!$B$4:$B$15,MATCH(D43,'Product Lookup'!$A$4:$A$15,0)),"Product Not Found")</f>
        <v>USB-C Hub</v>
      </c>
      <c r="I43" s="1" t="str">
        <f>IFERROR(VLOOKUP(Orders!D43,'Product Lookup'!$A$4:$D$15,3), "Category Not Found")</f>
        <v>Electronics</v>
      </c>
      <c r="J43" s="12">
        <f>VLOOKUP(Orders!D43,'Product Lookup'!$A$4:$D$15,4)</f>
        <v>39</v>
      </c>
      <c r="K43" s="18">
        <f t="shared" si="0"/>
        <v>156</v>
      </c>
    </row>
    <row r="44" spans="1:11" s="32" customFormat="1">
      <c r="A44" s="27" t="s">
        <v>73</v>
      </c>
      <c r="B44" s="28">
        <v>45460</v>
      </c>
      <c r="C44" s="29" t="s">
        <v>23</v>
      </c>
      <c r="D44" s="29" t="s">
        <v>59</v>
      </c>
      <c r="E44" s="29">
        <v>8</v>
      </c>
      <c r="F44" s="29" t="str">
        <f>_xlfn.IFNA(_xlfn.XLOOKUP(C44,'Employee Lookup'!$A$4:$A$11,'Employee Lookup'!$B$4:$B$11), "Rep Not Found")</f>
        <v>Isabella Cruz</v>
      </c>
      <c r="G44" s="29" t="str">
        <f>_xlfn.IFNA(_xlfn.XLOOKUP(Orders!C44,'Employee Lookup'!$A$4:$A$11,'Employee Lookup'!$C$4:$C$11), "Region Not Found")</f>
        <v>West</v>
      </c>
      <c r="H44" s="29" t="str">
        <f>IFERROR(INDEX('Product Lookup'!$B$4:$B$15,MATCH(D44,'Product Lookup'!$A$4:$A$15,0)),"Product Not Found")</f>
        <v>Wireless Mouse</v>
      </c>
      <c r="I44" s="29" t="str">
        <f>IFERROR(VLOOKUP(Orders!D44,'Product Lookup'!$A$4:$D$15,3), "Category Not Found")</f>
        <v>Electronics</v>
      </c>
      <c r="J44" s="30">
        <f>VLOOKUP(Orders!D44,'Product Lookup'!$A$4:$D$15,4)</f>
        <v>24.99</v>
      </c>
      <c r="K44" s="31">
        <f t="shared" si="0"/>
        <v>199.92</v>
      </c>
    </row>
    <row r="45" spans="1:11">
      <c r="A45" s="17" t="s">
        <v>74</v>
      </c>
      <c r="B45" s="2">
        <v>45442</v>
      </c>
      <c r="C45" s="1" t="s">
        <v>75</v>
      </c>
      <c r="D45" s="1" t="s">
        <v>31</v>
      </c>
      <c r="E45" s="1">
        <v>5</v>
      </c>
      <c r="F45" s="1" t="str">
        <f>_xlfn.IFNA(_xlfn.XLOOKUP(C45,'Employee Lookup'!$A$4:$A$11,'Employee Lookup'!$B$4:$B$11), "Rep Not Found")</f>
        <v>Rep Not Found</v>
      </c>
      <c r="G45" s="1" t="str">
        <f>_xlfn.IFNA(_xlfn.XLOOKUP(Orders!C45,'Employee Lookup'!$A$4:$A$11,'Employee Lookup'!$C$4:$C$11), "Region Not Found")</f>
        <v>Region Not Found</v>
      </c>
      <c r="H45" s="1" t="str">
        <f>IFERROR(INDEX('Product Lookup'!$B$4:$B$15,MATCH(D45,'Product Lookup'!$A$4:$A$15,0)),"Product Not Found")</f>
        <v>Standing Desk</v>
      </c>
      <c r="I45" s="1" t="str">
        <f>IFERROR(VLOOKUP(Orders!D45,'Product Lookup'!$A$4:$D$15,3), "Category Not Found")</f>
        <v>Furniture</v>
      </c>
      <c r="J45" s="12">
        <f>VLOOKUP(Orders!D45,'Product Lookup'!$A$4:$D$15,4)</f>
        <v>349</v>
      </c>
      <c r="K45" s="18">
        <f t="shared" si="0"/>
        <v>1745</v>
      </c>
    </row>
    <row r="46" spans="1:11" s="32" customFormat="1">
      <c r="A46" s="27" t="s">
        <v>76</v>
      </c>
      <c r="B46" s="28">
        <v>45293</v>
      </c>
      <c r="C46" s="29" t="s">
        <v>14</v>
      </c>
      <c r="D46" s="29" t="s">
        <v>15</v>
      </c>
      <c r="E46" s="29">
        <v>9</v>
      </c>
      <c r="F46" s="29" t="str">
        <f>_xlfn.IFNA(_xlfn.XLOOKUP(C46,'Employee Lookup'!$A$4:$A$11,'Employee Lookup'!$B$4:$B$11), "Rep Not Found")</f>
        <v>Han Sooyoung</v>
      </c>
      <c r="G46" s="29" t="str">
        <f>_xlfn.IFNA(_xlfn.XLOOKUP(Orders!C46,'Employee Lookup'!$A$4:$A$11,'Employee Lookup'!$C$4:$C$11), "Region Not Found")</f>
        <v>East</v>
      </c>
      <c r="H46" s="29" t="str">
        <f>IFERROR(INDEX('Product Lookup'!$B$4:$B$15,MATCH(D46,'Product Lookup'!$A$4:$A$15,0)),"Product Not Found")</f>
        <v>Monitor Arm</v>
      </c>
      <c r="I46" s="29" t="str">
        <f>IFERROR(VLOOKUP(Orders!D46,'Product Lookup'!$A$4:$D$15,3), "Category Not Found")</f>
        <v>Furniture</v>
      </c>
      <c r="J46" s="30">
        <f>VLOOKUP(Orders!D46,'Product Lookup'!$A$4:$D$15,4)</f>
        <v>58.75</v>
      </c>
      <c r="K46" s="31">
        <f t="shared" si="0"/>
        <v>528.75</v>
      </c>
    </row>
    <row r="47" spans="1:11">
      <c r="A47" s="17" t="s">
        <v>77</v>
      </c>
      <c r="B47" s="2">
        <v>45386</v>
      </c>
      <c r="C47" s="1" t="s">
        <v>55</v>
      </c>
      <c r="D47" s="1" t="s">
        <v>51</v>
      </c>
      <c r="E47" s="1">
        <v>12</v>
      </c>
      <c r="F47" s="1" t="str">
        <f>_xlfn.IFNA(_xlfn.XLOOKUP(C47,'Employee Lookup'!$A$4:$A$11,'Employee Lookup'!$B$4:$B$11), "Rep Not Found")</f>
        <v>Priya Nair</v>
      </c>
      <c r="G47" s="1" t="str">
        <f>_xlfn.IFNA(_xlfn.XLOOKUP(Orders!C47,'Employee Lookup'!$A$4:$A$11,'Employee Lookup'!$C$4:$C$11), "Region Not Found")</f>
        <v>South</v>
      </c>
      <c r="H47" s="1" t="str">
        <f>IFERROR(INDEX('Product Lookup'!$B$4:$B$15,MATCH(D47,'Product Lookup'!$A$4:$A$15,0)),"Product Not Found")</f>
        <v>USB-C Hub</v>
      </c>
      <c r="I47" s="1" t="str">
        <f>IFERROR(VLOOKUP(Orders!D47,'Product Lookup'!$A$4:$D$15,3), "Category Not Found")</f>
        <v>Electronics</v>
      </c>
      <c r="J47" s="12">
        <f>VLOOKUP(Orders!D47,'Product Lookup'!$A$4:$D$15,4)</f>
        <v>39</v>
      </c>
      <c r="K47" s="18">
        <f t="shared" si="0"/>
        <v>468</v>
      </c>
    </row>
    <row r="48" spans="1:11" s="32" customFormat="1">
      <c r="A48" s="27" t="s">
        <v>78</v>
      </c>
      <c r="B48" s="28">
        <v>45423</v>
      </c>
      <c r="C48" s="29" t="s">
        <v>20</v>
      </c>
      <c r="D48" s="29" t="s">
        <v>39</v>
      </c>
      <c r="E48" s="29">
        <v>15</v>
      </c>
      <c r="F48" s="29" t="str">
        <f>_xlfn.IFNA(_xlfn.XLOOKUP(C48,'Employee Lookup'!$A$4:$A$11,'Employee Lookup'!$B$4:$B$11), "Rep Not Found")</f>
        <v>Marcus Lee</v>
      </c>
      <c r="G48" s="29" t="str">
        <f>_xlfn.IFNA(_xlfn.XLOOKUP(Orders!C48,'Employee Lookup'!$A$4:$A$11,'Employee Lookup'!$C$4:$C$11), "Region Not Found")</f>
        <v>North</v>
      </c>
      <c r="H48" s="29" t="str">
        <f>IFERROR(INDEX('Product Lookup'!$B$4:$B$15,MATCH(D48,'Product Lookup'!$A$4:$A$15,0)),"Product Not Found")</f>
        <v>Sticky Note Pack</v>
      </c>
      <c r="I48" s="29" t="str">
        <f>IFERROR(VLOOKUP(Orders!D48,'Product Lookup'!$A$4:$D$15,3), "Category Not Found")</f>
        <v>Stationery</v>
      </c>
      <c r="J48" s="30">
        <f>VLOOKUP(Orders!D48,'Product Lookup'!$A$4:$D$15,4)</f>
        <v>6.25</v>
      </c>
      <c r="K48" s="31">
        <f t="shared" si="0"/>
        <v>93.75</v>
      </c>
    </row>
    <row r="49" spans="1:11">
      <c r="A49" s="17" t="s">
        <v>79</v>
      </c>
      <c r="B49" s="2">
        <v>45491</v>
      </c>
      <c r="C49" s="1" t="s">
        <v>41</v>
      </c>
      <c r="D49" s="1" t="s">
        <v>15</v>
      </c>
      <c r="E49" s="1">
        <v>7</v>
      </c>
      <c r="F49" s="1" t="str">
        <f>_xlfn.IFNA(_xlfn.XLOOKUP(C49,'Employee Lookup'!$A$4:$A$11,'Employee Lookup'!$B$4:$B$11), "Rep Not Found")</f>
        <v>Tom Fitzgerald</v>
      </c>
      <c r="G49" s="1" t="str">
        <f>_xlfn.IFNA(_xlfn.XLOOKUP(Orders!C49,'Employee Lookup'!$A$4:$A$11,'Employee Lookup'!$C$4:$C$11), "Region Not Found")</f>
        <v>East</v>
      </c>
      <c r="H49" s="1" t="str">
        <f>IFERROR(INDEX('Product Lookup'!$B$4:$B$15,MATCH(D49,'Product Lookup'!$A$4:$A$15,0)),"Product Not Found")</f>
        <v>Monitor Arm</v>
      </c>
      <c r="I49" s="1" t="str">
        <f>IFERROR(VLOOKUP(Orders!D49,'Product Lookup'!$A$4:$D$15,3), "Category Not Found")</f>
        <v>Furniture</v>
      </c>
      <c r="J49" s="12">
        <f>VLOOKUP(Orders!D49,'Product Lookup'!$A$4:$D$15,4)</f>
        <v>58.75</v>
      </c>
      <c r="K49" s="18">
        <f t="shared" si="0"/>
        <v>411.25</v>
      </c>
    </row>
    <row r="50" spans="1:11" s="32" customFormat="1">
      <c r="A50" s="27" t="s">
        <v>80</v>
      </c>
      <c r="B50" s="28">
        <v>45392</v>
      </c>
      <c r="C50" s="29" t="s">
        <v>17</v>
      </c>
      <c r="D50" s="29" t="s">
        <v>39</v>
      </c>
      <c r="E50" s="29">
        <v>11</v>
      </c>
      <c r="F50" s="29" t="str">
        <f>_xlfn.IFNA(_xlfn.XLOOKUP(C50,'Employee Lookup'!$A$4:$A$11,'Employee Lookup'!$B$4:$B$11), "Rep Not Found")</f>
        <v>Fatima Bello</v>
      </c>
      <c r="G50" s="29" t="str">
        <f>_xlfn.IFNA(_xlfn.XLOOKUP(Orders!C50,'Employee Lookup'!$A$4:$A$11,'Employee Lookup'!$C$4:$C$11), "Region Not Found")</f>
        <v>South</v>
      </c>
      <c r="H50" s="29" t="str">
        <f>IFERROR(INDEX('Product Lookup'!$B$4:$B$15,MATCH(D50,'Product Lookup'!$A$4:$A$15,0)),"Product Not Found")</f>
        <v>Sticky Note Pack</v>
      </c>
      <c r="I50" s="29" t="str">
        <f>IFERROR(VLOOKUP(Orders!D50,'Product Lookup'!$A$4:$D$15,3), "Category Not Found")</f>
        <v>Stationery</v>
      </c>
      <c r="J50" s="30">
        <f>VLOOKUP(Orders!D50,'Product Lookup'!$A$4:$D$15,4)</f>
        <v>6.25</v>
      </c>
      <c r="K50" s="31">
        <f t="shared" si="0"/>
        <v>68.75</v>
      </c>
    </row>
    <row r="51" spans="1:11">
      <c r="A51" s="17" t="s">
        <v>81</v>
      </c>
      <c r="B51" s="2">
        <v>45394</v>
      </c>
      <c r="C51" s="1" t="s">
        <v>20</v>
      </c>
      <c r="D51" s="1" t="s">
        <v>29</v>
      </c>
      <c r="E51" s="1">
        <v>2</v>
      </c>
      <c r="F51" s="1" t="str">
        <f>_xlfn.IFNA(_xlfn.XLOOKUP(C51,'Employee Lookup'!$A$4:$A$11,'Employee Lookup'!$B$4:$B$11), "Rep Not Found")</f>
        <v>Marcus Lee</v>
      </c>
      <c r="G51" s="1" t="str">
        <f>_xlfn.IFNA(_xlfn.XLOOKUP(Orders!C51,'Employee Lookup'!$A$4:$A$11,'Employee Lookup'!$C$4:$C$11), "Region Not Found")</f>
        <v>North</v>
      </c>
      <c r="H51" s="1" t="str">
        <f>IFERROR(INDEX('Product Lookup'!$B$4:$B$15,MATCH(D51,'Product Lookup'!$A$4:$A$15,0)),"Product Not Found")</f>
        <v>Noise-Cancelling Headphones</v>
      </c>
      <c r="I51" s="1" t="str">
        <f>IFERROR(VLOOKUP(Orders!D51,'Product Lookup'!$A$4:$D$15,3), "Category Not Found")</f>
        <v>Electronics</v>
      </c>
      <c r="J51" s="12">
        <f>VLOOKUP(Orders!D51,'Product Lookup'!$A$4:$D$15,4)</f>
        <v>129.99</v>
      </c>
      <c r="K51" s="18">
        <f t="shared" si="0"/>
        <v>259.98</v>
      </c>
    </row>
    <row r="52" spans="1:11" s="32" customFormat="1">
      <c r="A52" s="27" t="s">
        <v>82</v>
      </c>
      <c r="B52" s="28">
        <v>45345</v>
      </c>
      <c r="C52" s="29" t="s">
        <v>43</v>
      </c>
      <c r="D52" s="29" t="s">
        <v>51</v>
      </c>
      <c r="E52" s="29">
        <v>2</v>
      </c>
      <c r="F52" s="29" t="str">
        <f>_xlfn.IFNA(_xlfn.XLOOKUP(C52,'Employee Lookup'!$A$4:$A$11,'Employee Lookup'!$B$4:$B$11), "Rep Not Found")</f>
        <v>Aiko Yamamoto</v>
      </c>
      <c r="G52" s="29" t="str">
        <f>_xlfn.IFNA(_xlfn.XLOOKUP(Orders!C52,'Employee Lookup'!$A$4:$A$11,'Employee Lookup'!$C$4:$C$11), "Region Not Found")</f>
        <v>West</v>
      </c>
      <c r="H52" s="29" t="str">
        <f>IFERROR(INDEX('Product Lookup'!$B$4:$B$15,MATCH(D52,'Product Lookup'!$A$4:$A$15,0)),"Product Not Found")</f>
        <v>USB-C Hub</v>
      </c>
      <c r="I52" s="29" t="str">
        <f>IFERROR(VLOOKUP(Orders!D52,'Product Lookup'!$A$4:$D$15,3), "Category Not Found")</f>
        <v>Electronics</v>
      </c>
      <c r="J52" s="30">
        <f>VLOOKUP(Orders!D52,'Product Lookup'!$A$4:$D$15,4)</f>
        <v>39</v>
      </c>
      <c r="K52" s="31">
        <f t="shared" si="0"/>
        <v>78</v>
      </c>
    </row>
    <row r="53" spans="1:11">
      <c r="A53" s="17" t="s">
        <v>83</v>
      </c>
      <c r="B53" s="2">
        <v>45379</v>
      </c>
      <c r="C53" s="1" t="s">
        <v>20</v>
      </c>
      <c r="D53" s="1" t="s">
        <v>24</v>
      </c>
      <c r="E53" s="1">
        <v>1</v>
      </c>
      <c r="F53" s="1" t="str">
        <f>_xlfn.IFNA(_xlfn.XLOOKUP(C53,'Employee Lookup'!$A$4:$A$11,'Employee Lookup'!$B$4:$B$11), "Rep Not Found")</f>
        <v>Marcus Lee</v>
      </c>
      <c r="G53" s="1" t="str">
        <f>_xlfn.IFNA(_xlfn.XLOOKUP(Orders!C53,'Employee Lookup'!$A$4:$A$11,'Employee Lookup'!$C$4:$C$11), "Region Not Found")</f>
        <v>North</v>
      </c>
      <c r="H53" s="1" t="str">
        <f>IFERROR(INDEX('Product Lookup'!$B$4:$B$15,MATCH(D53,'Product Lookup'!$A$4:$A$15,0)),"Product Not Found")</f>
        <v>Mechanical Keyboard</v>
      </c>
      <c r="I53" s="1" t="str">
        <f>IFERROR(VLOOKUP(Orders!D53,'Product Lookup'!$A$4:$D$15,3), "Category Not Found")</f>
        <v>Electronics</v>
      </c>
      <c r="J53" s="12">
        <f>VLOOKUP(Orders!D53,'Product Lookup'!$A$4:$D$15,4)</f>
        <v>74.5</v>
      </c>
      <c r="K53" s="18">
        <f t="shared" si="0"/>
        <v>74.5</v>
      </c>
    </row>
    <row r="54" spans="1:11" s="32" customFormat="1">
      <c r="A54" s="27" t="s">
        <v>84</v>
      </c>
      <c r="B54" s="28">
        <v>45437</v>
      </c>
      <c r="C54" s="29" t="s">
        <v>14</v>
      </c>
      <c r="D54" s="29" t="s">
        <v>18</v>
      </c>
      <c r="E54" s="29">
        <v>2</v>
      </c>
      <c r="F54" s="29" t="str">
        <f>_xlfn.IFNA(_xlfn.XLOOKUP(C54,'Employee Lookup'!$A$4:$A$11,'Employee Lookup'!$B$4:$B$11), "Rep Not Found")</f>
        <v>Han Sooyoung</v>
      </c>
      <c r="G54" s="29" t="str">
        <f>_xlfn.IFNA(_xlfn.XLOOKUP(Orders!C54,'Employee Lookup'!$A$4:$A$11,'Employee Lookup'!$C$4:$C$11), "Region Not Found")</f>
        <v>East</v>
      </c>
      <c r="H54" s="29" t="str">
        <f>IFERROR(INDEX('Product Lookup'!$B$4:$B$15,MATCH(D54,'Product Lookup'!$A$4:$A$15,0)),"Product Not Found")</f>
        <v>Fountain Pen Set</v>
      </c>
      <c r="I54" s="29" t="str">
        <f>IFERROR(VLOOKUP(Orders!D54,'Product Lookup'!$A$4:$D$15,3), "Category Not Found")</f>
        <v>Stationery</v>
      </c>
      <c r="J54" s="30">
        <f>VLOOKUP(Orders!D54,'Product Lookup'!$A$4:$D$15,4)</f>
        <v>18.5</v>
      </c>
      <c r="K54" s="31">
        <f t="shared" si="0"/>
        <v>37</v>
      </c>
    </row>
    <row r="55" spans="1:11">
      <c r="A55" s="17" t="s">
        <v>85</v>
      </c>
      <c r="B55" s="2">
        <v>45385</v>
      </c>
      <c r="C55" s="1" t="s">
        <v>20</v>
      </c>
      <c r="D55" s="1" t="s">
        <v>24</v>
      </c>
      <c r="E55" s="1">
        <v>14</v>
      </c>
      <c r="F55" s="1" t="str">
        <f>_xlfn.IFNA(_xlfn.XLOOKUP(C55,'Employee Lookup'!$A$4:$A$11,'Employee Lookup'!$B$4:$B$11), "Rep Not Found")</f>
        <v>Marcus Lee</v>
      </c>
      <c r="G55" s="1" t="str">
        <f>_xlfn.IFNA(_xlfn.XLOOKUP(Orders!C55,'Employee Lookup'!$A$4:$A$11,'Employee Lookup'!$C$4:$C$11), "Region Not Found")</f>
        <v>North</v>
      </c>
      <c r="H55" s="1" t="str">
        <f>IFERROR(INDEX('Product Lookup'!$B$4:$B$15,MATCH(D55,'Product Lookup'!$A$4:$A$15,0)),"Product Not Found")</f>
        <v>Mechanical Keyboard</v>
      </c>
      <c r="I55" s="1" t="str">
        <f>IFERROR(VLOOKUP(Orders!D55,'Product Lookup'!$A$4:$D$15,3), "Category Not Found")</f>
        <v>Electronics</v>
      </c>
      <c r="J55" s="12">
        <f>VLOOKUP(Orders!D55,'Product Lookup'!$A$4:$D$15,4)</f>
        <v>74.5</v>
      </c>
      <c r="K55" s="18">
        <f t="shared" si="0"/>
        <v>1043</v>
      </c>
    </row>
    <row r="56" spans="1:11" s="32" customFormat="1">
      <c r="A56" s="27" t="s">
        <v>86</v>
      </c>
      <c r="B56" s="28">
        <v>45345</v>
      </c>
      <c r="C56" s="29" t="s">
        <v>41</v>
      </c>
      <c r="D56" s="29" t="s">
        <v>51</v>
      </c>
      <c r="E56" s="29">
        <v>11</v>
      </c>
      <c r="F56" s="29" t="str">
        <f>_xlfn.IFNA(_xlfn.XLOOKUP(C56,'Employee Lookup'!$A$4:$A$11,'Employee Lookup'!$B$4:$B$11), "Rep Not Found")</f>
        <v>Tom Fitzgerald</v>
      </c>
      <c r="G56" s="29" t="str">
        <f>_xlfn.IFNA(_xlfn.XLOOKUP(Orders!C56,'Employee Lookup'!$A$4:$A$11,'Employee Lookup'!$C$4:$C$11), "Region Not Found")</f>
        <v>East</v>
      </c>
      <c r="H56" s="29" t="str">
        <f>IFERROR(INDEX('Product Lookup'!$B$4:$B$15,MATCH(D56,'Product Lookup'!$A$4:$A$15,0)),"Product Not Found")</f>
        <v>USB-C Hub</v>
      </c>
      <c r="I56" s="29" t="str">
        <f>IFERROR(VLOOKUP(Orders!D56,'Product Lookup'!$A$4:$D$15,3), "Category Not Found")</f>
        <v>Electronics</v>
      </c>
      <c r="J56" s="30">
        <f>VLOOKUP(Orders!D56,'Product Lookup'!$A$4:$D$15,4)</f>
        <v>39</v>
      </c>
      <c r="K56" s="31">
        <f t="shared" si="0"/>
        <v>429</v>
      </c>
    </row>
    <row r="57" spans="1:11">
      <c r="A57" s="17" t="s">
        <v>87</v>
      </c>
      <c r="B57" s="2">
        <v>45356</v>
      </c>
      <c r="C57" s="1" t="s">
        <v>55</v>
      </c>
      <c r="D57" s="1" t="s">
        <v>26</v>
      </c>
      <c r="E57" s="1">
        <v>6</v>
      </c>
      <c r="F57" s="1" t="str">
        <f>_xlfn.IFNA(_xlfn.XLOOKUP(C57,'Employee Lookup'!$A$4:$A$11,'Employee Lookup'!$B$4:$B$11), "Rep Not Found")</f>
        <v>Priya Nair</v>
      </c>
      <c r="G57" s="1" t="str">
        <f>_xlfn.IFNA(_xlfn.XLOOKUP(Orders!C57,'Employee Lookup'!$A$4:$A$11,'Employee Lookup'!$C$4:$C$11), "Region Not Found")</f>
        <v>South</v>
      </c>
      <c r="H57" s="1" t="str">
        <f>IFERROR(INDEX('Product Lookup'!$B$4:$B$15,MATCH(D57,'Product Lookup'!$A$4:$A$15,0)),"Product Not Found")</f>
        <v>Desk Planner</v>
      </c>
      <c r="I57" s="1" t="str">
        <f>IFERROR(VLOOKUP(Orders!D57,'Product Lookup'!$A$4:$D$15,3), "Category Not Found")</f>
        <v>Stationery</v>
      </c>
      <c r="J57" s="12">
        <f>VLOOKUP(Orders!D57,'Product Lookup'!$A$4:$D$15,4)</f>
        <v>14</v>
      </c>
      <c r="K57" s="18">
        <f t="shared" si="0"/>
        <v>84</v>
      </c>
    </row>
    <row r="58" spans="1:11" s="32" customFormat="1">
      <c r="A58" s="27" t="s">
        <v>88</v>
      </c>
      <c r="B58" s="28">
        <v>45413</v>
      </c>
      <c r="C58" s="29" t="s">
        <v>17</v>
      </c>
      <c r="D58" s="29" t="s">
        <v>24</v>
      </c>
      <c r="E58" s="29">
        <v>14</v>
      </c>
      <c r="F58" s="29" t="str">
        <f>_xlfn.IFNA(_xlfn.XLOOKUP(C58,'Employee Lookup'!$A$4:$A$11,'Employee Lookup'!$B$4:$B$11), "Rep Not Found")</f>
        <v>Fatima Bello</v>
      </c>
      <c r="G58" s="29" t="str">
        <f>_xlfn.IFNA(_xlfn.XLOOKUP(Orders!C58,'Employee Lookup'!$A$4:$A$11,'Employee Lookup'!$C$4:$C$11), "Region Not Found")</f>
        <v>South</v>
      </c>
      <c r="H58" s="29" t="str">
        <f>IFERROR(INDEX('Product Lookup'!$B$4:$B$15,MATCH(D58,'Product Lookup'!$A$4:$A$15,0)),"Product Not Found")</f>
        <v>Mechanical Keyboard</v>
      </c>
      <c r="I58" s="29" t="str">
        <f>IFERROR(VLOOKUP(Orders!D58,'Product Lookup'!$A$4:$D$15,3), "Category Not Found")</f>
        <v>Electronics</v>
      </c>
      <c r="J58" s="30">
        <f>VLOOKUP(Orders!D58,'Product Lookup'!$A$4:$D$15,4)</f>
        <v>74.5</v>
      </c>
      <c r="K58" s="31">
        <f t="shared" si="0"/>
        <v>1043</v>
      </c>
    </row>
    <row r="59" spans="1:11">
      <c r="A59" s="22" t="s">
        <v>89</v>
      </c>
      <c r="B59" s="23">
        <v>45416</v>
      </c>
      <c r="C59" s="24" t="s">
        <v>43</v>
      </c>
      <c r="D59" s="24" t="s">
        <v>39</v>
      </c>
      <c r="E59" s="24">
        <v>8</v>
      </c>
      <c r="F59" s="24" t="str">
        <f>_xlfn.IFNA(_xlfn.XLOOKUP(C59,'Employee Lookup'!$A$4:$A$11,'Employee Lookup'!$B$4:$B$11), "Rep Not Found")</f>
        <v>Aiko Yamamoto</v>
      </c>
      <c r="G59" s="24" t="str">
        <f>_xlfn.IFNA(_xlfn.XLOOKUP(Orders!C59,'Employee Lookup'!$A$4:$A$11,'Employee Lookup'!$C$4:$C$11), "Region Not Found")</f>
        <v>West</v>
      </c>
      <c r="H59" s="24" t="str">
        <f>IFERROR(INDEX('Product Lookup'!$B$4:$B$15,MATCH(D59,'Product Lookup'!$A$4:$A$15,0)),"Product Not Found")</f>
        <v>Sticky Note Pack</v>
      </c>
      <c r="I59" s="24" t="str">
        <f>IFERROR(VLOOKUP(Orders!D59,'Product Lookup'!$A$4:$D$15,3), "Category Not Found")</f>
        <v>Stationery</v>
      </c>
      <c r="J59" s="25">
        <f>VLOOKUP(Orders!D59,'Product Lookup'!$A$4:$D$15,4)</f>
        <v>6.25</v>
      </c>
      <c r="K59" s="26">
        <f t="shared" si="0"/>
        <v>50</v>
      </c>
    </row>
  </sheetData>
  <mergeCells count="2">
    <mergeCell ref="A2:K2"/>
    <mergeCell ref="A1:K1"/>
  </mergeCells>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92B87-F8B3-4242-BCD5-21E8E2E7DC7C}">
  <dimension ref="A1:C23"/>
  <sheetViews>
    <sheetView workbookViewId="0">
      <selection activeCell="B15" sqref="B15"/>
    </sheetView>
  </sheetViews>
  <sheetFormatPr defaultRowHeight="15"/>
  <cols>
    <col min="1" max="1" width="18.85546875" bestFit="1" customWidth="1"/>
    <col min="2" max="2" width="16.28515625" bestFit="1" customWidth="1"/>
    <col min="3" max="3" width="15.42578125" bestFit="1" customWidth="1"/>
  </cols>
  <sheetData>
    <row r="1" spans="1:3">
      <c r="A1" s="13" t="s">
        <v>145</v>
      </c>
      <c r="B1" t="s">
        <v>148</v>
      </c>
      <c r="C1" t="s">
        <v>149</v>
      </c>
    </row>
    <row r="2" spans="1:3" ht="13.7" customHeight="1">
      <c r="A2" s="14" t="s">
        <v>96</v>
      </c>
      <c r="B2" s="16">
        <v>12334.970000000001</v>
      </c>
      <c r="C2">
        <v>127</v>
      </c>
    </row>
    <row r="3" spans="1:3" ht="13.7" customHeight="1">
      <c r="A3" s="15" t="s">
        <v>105</v>
      </c>
      <c r="B3" s="16">
        <v>2226.9700000000003</v>
      </c>
      <c r="C3">
        <v>41</v>
      </c>
    </row>
    <row r="4" spans="1:3" ht="13.7" customHeight="1">
      <c r="A4" s="15" t="s">
        <v>110</v>
      </c>
      <c r="B4" s="16">
        <v>6603.75</v>
      </c>
      <c r="C4">
        <v>56</v>
      </c>
    </row>
    <row r="5" spans="1:3" ht="13.7" customHeight="1">
      <c r="A5" s="15" t="s">
        <v>119</v>
      </c>
      <c r="B5" s="16">
        <v>3383</v>
      </c>
      <c r="C5">
        <v>17</v>
      </c>
    </row>
    <row r="6" spans="1:3" ht="13.7" customHeight="1">
      <c r="A6" s="15" t="s">
        <v>114</v>
      </c>
      <c r="B6" s="16">
        <v>121.25</v>
      </c>
      <c r="C6">
        <v>13</v>
      </c>
    </row>
    <row r="7" spans="1:3" ht="13.7" customHeight="1">
      <c r="A7" s="14" t="s">
        <v>92</v>
      </c>
      <c r="B7" s="16">
        <v>6944.09</v>
      </c>
      <c r="C7">
        <v>81</v>
      </c>
    </row>
    <row r="8" spans="1:3" ht="13.7" customHeight="1">
      <c r="A8" s="15" t="s">
        <v>105</v>
      </c>
      <c r="B8" s="16">
        <v>3197.34</v>
      </c>
      <c r="C8">
        <v>31</v>
      </c>
    </row>
    <row r="9" spans="1:3" ht="13.7" customHeight="1">
      <c r="A9" s="15" t="s">
        <v>119</v>
      </c>
      <c r="B9" s="16">
        <v>3383</v>
      </c>
      <c r="C9">
        <v>17</v>
      </c>
    </row>
    <row r="10" spans="1:3" ht="13.7" customHeight="1">
      <c r="A10" s="15" t="s">
        <v>114</v>
      </c>
      <c r="B10" s="16">
        <v>363.75</v>
      </c>
      <c r="C10">
        <v>33</v>
      </c>
    </row>
    <row r="11" spans="1:3" ht="13.7" customHeight="1">
      <c r="A11" s="14" t="s">
        <v>146</v>
      </c>
      <c r="B11" s="16">
        <v>1815</v>
      </c>
      <c r="C11">
        <v>10</v>
      </c>
    </row>
    <row r="12" spans="1:3" ht="13.7" customHeight="1">
      <c r="A12" s="15" t="s">
        <v>110</v>
      </c>
      <c r="B12" s="16">
        <v>1745</v>
      </c>
      <c r="C12">
        <v>5</v>
      </c>
    </row>
    <row r="13" spans="1:3" ht="13.7" customHeight="1">
      <c r="A13" s="15" t="s">
        <v>114</v>
      </c>
      <c r="B13" s="16">
        <v>70</v>
      </c>
      <c r="C13">
        <v>5</v>
      </c>
    </row>
    <row r="14" spans="1:3" ht="13.7" customHeight="1">
      <c r="A14" s="14" t="s">
        <v>94</v>
      </c>
      <c r="B14" s="16">
        <v>4447.3</v>
      </c>
      <c r="C14">
        <v>99</v>
      </c>
    </row>
    <row r="15" spans="1:3" ht="13.7" customHeight="1">
      <c r="A15" s="15" t="s">
        <v>105</v>
      </c>
      <c r="B15" s="16">
        <v>2383.3000000000002</v>
      </c>
      <c r="C15">
        <v>51</v>
      </c>
    </row>
    <row r="16" spans="1:3" ht="13.7" customHeight="1">
      <c r="A16" s="15" t="s">
        <v>110</v>
      </c>
      <c r="B16" s="16">
        <v>411.25</v>
      </c>
      <c r="C16">
        <v>7</v>
      </c>
    </row>
    <row r="17" spans="1:3" ht="13.7" customHeight="1">
      <c r="A17" s="15" t="s">
        <v>119</v>
      </c>
      <c r="B17" s="16">
        <v>1194</v>
      </c>
      <c r="C17">
        <v>6</v>
      </c>
    </row>
    <row r="18" spans="1:3" ht="13.7" customHeight="1">
      <c r="A18" s="15" t="s">
        <v>114</v>
      </c>
      <c r="B18" s="16">
        <v>458.75</v>
      </c>
      <c r="C18">
        <v>35</v>
      </c>
    </row>
    <row r="19" spans="1:3" ht="13.7" customHeight="1">
      <c r="A19" s="14" t="s">
        <v>98</v>
      </c>
      <c r="B19" s="16">
        <v>10126.92</v>
      </c>
      <c r="C19">
        <v>91</v>
      </c>
    </row>
    <row r="20" spans="1:3" ht="13.7" customHeight="1">
      <c r="A20" s="15" t="s">
        <v>105</v>
      </c>
      <c r="B20" s="16">
        <v>948.42</v>
      </c>
      <c r="C20">
        <v>19</v>
      </c>
    </row>
    <row r="21" spans="1:3" ht="13.7" customHeight="1">
      <c r="A21" s="15" t="s">
        <v>110</v>
      </c>
      <c r="B21" s="16">
        <v>8877.75</v>
      </c>
      <c r="C21">
        <v>40</v>
      </c>
    </row>
    <row r="22" spans="1:3" ht="13.7" customHeight="1">
      <c r="A22" s="15" t="s">
        <v>114</v>
      </c>
      <c r="B22" s="16">
        <v>300.75</v>
      </c>
      <c r="C22">
        <v>32</v>
      </c>
    </row>
    <row r="23" spans="1:3" ht="13.7" customHeight="1">
      <c r="A23" s="14" t="s">
        <v>147</v>
      </c>
      <c r="B23" s="16">
        <v>35668.28</v>
      </c>
      <c r="C23">
        <v>408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979199-6901-40C9-BDD6-E6180BF59A7B}">
  <dimension ref="A1"/>
  <sheetViews>
    <sheetView showGridLines="0" tabSelected="1" workbookViewId="0">
      <selection activeCell="O23" sqref="O23"/>
    </sheetView>
  </sheetViews>
  <sheetFormatPr defaultRowHeight="1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1"/>
  <sheetViews>
    <sheetView showGridLines="0" workbookViewId="0">
      <selection sqref="A1:C1"/>
    </sheetView>
  </sheetViews>
  <sheetFormatPr defaultRowHeight="15"/>
  <cols>
    <col min="1" max="1" width="10" customWidth="1"/>
    <col min="2" max="2" width="18" customWidth="1"/>
    <col min="3" max="3" width="10" customWidth="1"/>
  </cols>
  <sheetData>
    <row r="1" spans="1:3" ht="24" customHeight="1">
      <c r="A1" s="35" t="s">
        <v>90</v>
      </c>
      <c r="B1" s="34"/>
      <c r="C1" s="34"/>
    </row>
    <row r="3" spans="1:3">
      <c r="A3" s="4" t="s">
        <v>4</v>
      </c>
      <c r="B3" s="4" t="s">
        <v>7</v>
      </c>
      <c r="C3" s="4" t="s">
        <v>8</v>
      </c>
    </row>
    <row r="4" spans="1:3">
      <c r="A4" s="3" t="s">
        <v>20</v>
      </c>
      <c r="B4" s="3" t="s">
        <v>91</v>
      </c>
      <c r="C4" s="3" t="s">
        <v>92</v>
      </c>
    </row>
    <row r="5" spans="1:3">
      <c r="A5" s="1" t="s">
        <v>17</v>
      </c>
      <c r="B5" s="1" t="s">
        <v>93</v>
      </c>
      <c r="C5" s="1" t="s">
        <v>94</v>
      </c>
    </row>
    <row r="6" spans="1:3">
      <c r="A6" s="3" t="s">
        <v>14</v>
      </c>
      <c r="B6" s="3" t="s">
        <v>95</v>
      </c>
      <c r="C6" s="3" t="s">
        <v>96</v>
      </c>
    </row>
    <row r="7" spans="1:3">
      <c r="A7" s="1" t="s">
        <v>23</v>
      </c>
      <c r="B7" s="1" t="s">
        <v>97</v>
      </c>
      <c r="C7" s="1" t="s">
        <v>98</v>
      </c>
    </row>
    <row r="8" spans="1:3">
      <c r="A8" s="3" t="s">
        <v>49</v>
      </c>
      <c r="B8" s="3" t="s">
        <v>99</v>
      </c>
      <c r="C8" s="3" t="s">
        <v>92</v>
      </c>
    </row>
    <row r="9" spans="1:3">
      <c r="A9" s="1" t="s">
        <v>55</v>
      </c>
      <c r="B9" s="1" t="s">
        <v>100</v>
      </c>
      <c r="C9" s="1" t="s">
        <v>94</v>
      </c>
    </row>
    <row r="10" spans="1:3">
      <c r="A10" s="3" t="s">
        <v>41</v>
      </c>
      <c r="B10" s="3" t="s">
        <v>101</v>
      </c>
      <c r="C10" s="3" t="s">
        <v>96</v>
      </c>
    </row>
    <row r="11" spans="1:3">
      <c r="A11" s="1" t="s">
        <v>43</v>
      </c>
      <c r="B11" s="1" t="s">
        <v>102</v>
      </c>
      <c r="C11" s="1" t="s">
        <v>98</v>
      </c>
    </row>
  </sheetData>
  <mergeCells count="1">
    <mergeCell ref="A1:C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5"/>
  <sheetViews>
    <sheetView showGridLines="0" workbookViewId="0">
      <selection activeCell="E17" sqref="E17"/>
    </sheetView>
  </sheetViews>
  <sheetFormatPr defaultRowHeight="15"/>
  <cols>
    <col min="1" max="1" width="13" customWidth="1"/>
    <col min="2" max="2" width="26" customWidth="1"/>
    <col min="3" max="3" width="13" customWidth="1"/>
    <col min="4" max="4" width="11" customWidth="1"/>
  </cols>
  <sheetData>
    <row r="1" spans="1:4" ht="24" customHeight="1">
      <c r="A1" s="35" t="s">
        <v>103</v>
      </c>
      <c r="B1" s="34"/>
      <c r="C1" s="34"/>
      <c r="D1" s="34"/>
    </row>
    <row r="3" spans="1:4">
      <c r="A3" s="4" t="s">
        <v>5</v>
      </c>
      <c r="B3" s="4" t="s">
        <v>9</v>
      </c>
      <c r="C3" s="4" t="s">
        <v>10</v>
      </c>
      <c r="D3" s="4" t="s">
        <v>11</v>
      </c>
    </row>
    <row r="4" spans="1:4">
      <c r="A4" s="3" t="s">
        <v>59</v>
      </c>
      <c r="B4" s="3" t="s">
        <v>104</v>
      </c>
      <c r="C4" s="3" t="s">
        <v>105</v>
      </c>
      <c r="D4" s="5">
        <v>24.99</v>
      </c>
    </row>
    <row r="5" spans="1:4">
      <c r="A5" s="1" t="s">
        <v>24</v>
      </c>
      <c r="B5" s="1" t="s">
        <v>106</v>
      </c>
      <c r="C5" s="1" t="s">
        <v>105</v>
      </c>
      <c r="D5" s="6">
        <v>74.5</v>
      </c>
    </row>
    <row r="6" spans="1:4">
      <c r="A6" s="3" t="s">
        <v>51</v>
      </c>
      <c r="B6" s="3" t="s">
        <v>107</v>
      </c>
      <c r="C6" s="3" t="s">
        <v>105</v>
      </c>
      <c r="D6" s="5">
        <v>39</v>
      </c>
    </row>
    <row r="7" spans="1:4">
      <c r="A7" s="1" t="s">
        <v>29</v>
      </c>
      <c r="B7" s="1" t="s">
        <v>108</v>
      </c>
      <c r="C7" s="1" t="s">
        <v>105</v>
      </c>
      <c r="D7" s="6">
        <v>129.99</v>
      </c>
    </row>
    <row r="8" spans="1:4">
      <c r="A8" s="3" t="s">
        <v>31</v>
      </c>
      <c r="B8" s="3" t="s">
        <v>109</v>
      </c>
      <c r="C8" s="3" t="s">
        <v>110</v>
      </c>
      <c r="D8" s="5">
        <v>349</v>
      </c>
    </row>
    <row r="9" spans="1:4">
      <c r="A9" s="1" t="s">
        <v>36</v>
      </c>
      <c r="B9" s="1" t="s">
        <v>111</v>
      </c>
      <c r="C9" s="1" t="s">
        <v>110</v>
      </c>
      <c r="D9" s="6">
        <v>219</v>
      </c>
    </row>
    <row r="10" spans="1:4">
      <c r="A10" s="3" t="s">
        <v>15</v>
      </c>
      <c r="B10" s="3" t="s">
        <v>112</v>
      </c>
      <c r="C10" s="3" t="s">
        <v>110</v>
      </c>
      <c r="D10" s="5">
        <v>58.75</v>
      </c>
    </row>
    <row r="11" spans="1:4">
      <c r="A11" s="1" t="s">
        <v>39</v>
      </c>
      <c r="B11" s="1" t="s">
        <v>113</v>
      </c>
      <c r="C11" s="1" t="s">
        <v>114</v>
      </c>
      <c r="D11" s="6">
        <v>6.25</v>
      </c>
    </row>
    <row r="12" spans="1:4">
      <c r="A12" s="3" t="s">
        <v>18</v>
      </c>
      <c r="B12" s="3" t="s">
        <v>115</v>
      </c>
      <c r="C12" s="3" t="s">
        <v>114</v>
      </c>
      <c r="D12" s="5">
        <v>18.5</v>
      </c>
    </row>
    <row r="13" spans="1:4">
      <c r="A13" s="1" t="s">
        <v>26</v>
      </c>
      <c r="B13" s="1" t="s">
        <v>116</v>
      </c>
      <c r="C13" s="1" t="s">
        <v>114</v>
      </c>
      <c r="D13" s="6">
        <v>14</v>
      </c>
    </row>
    <row r="14" spans="1:4">
      <c r="A14" s="3" t="s">
        <v>117</v>
      </c>
      <c r="B14" s="3" t="s">
        <v>118</v>
      </c>
      <c r="C14" s="3" t="s">
        <v>119</v>
      </c>
      <c r="D14" s="5">
        <v>89</v>
      </c>
    </row>
    <row r="15" spans="1:4">
      <c r="A15" s="1" t="s">
        <v>45</v>
      </c>
      <c r="B15" s="1" t="s">
        <v>120</v>
      </c>
      <c r="C15" s="1" t="s">
        <v>119</v>
      </c>
      <c r="D15" s="6">
        <v>199</v>
      </c>
    </row>
  </sheetData>
  <mergeCells count="1">
    <mergeCell ref="A1:D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42"/>
  <sheetViews>
    <sheetView showGridLines="0" workbookViewId="0">
      <selection sqref="A1:B42"/>
    </sheetView>
  </sheetViews>
  <sheetFormatPr defaultRowHeight="15"/>
  <cols>
    <col min="1" max="1" width="3" customWidth="1"/>
    <col min="2" max="2" width="98" customWidth="1"/>
  </cols>
  <sheetData>
    <row r="1" spans="1:2" ht="27.95" customHeight="1">
      <c r="A1" s="35" t="s">
        <v>121</v>
      </c>
      <c r="B1" s="34"/>
    </row>
    <row r="2" spans="1:2" ht="30" customHeight="1">
      <c r="A2" s="38" t="s">
        <v>122</v>
      </c>
      <c r="B2" s="34"/>
    </row>
    <row r="3" spans="1:2" ht="3.95" customHeight="1"/>
    <row r="4" spans="1:2" ht="20.100000000000001" customHeight="1">
      <c r="A4" s="36" t="s">
        <v>123</v>
      </c>
      <c r="B4" s="37"/>
    </row>
    <row r="5" spans="1:2" ht="33.950000000000003" customHeight="1">
      <c r="A5" s="7">
        <v>1</v>
      </c>
      <c r="B5" s="8" t="s">
        <v>124</v>
      </c>
    </row>
    <row r="6" spans="1:2" ht="21.95" customHeight="1">
      <c r="B6" s="9" t="s">
        <v>132</v>
      </c>
    </row>
    <row r="8" spans="1:2" ht="33.950000000000003" customHeight="1">
      <c r="A8" s="7">
        <v>2</v>
      </c>
      <c r="B8" s="8" t="s">
        <v>125</v>
      </c>
    </row>
    <row r="10" spans="1:2" ht="33.950000000000003" customHeight="1">
      <c r="A10" s="7">
        <v>3</v>
      </c>
      <c r="B10" s="8" t="s">
        <v>136</v>
      </c>
    </row>
    <row r="11" spans="1:2" ht="21.95" customHeight="1">
      <c r="B11" s="9"/>
    </row>
    <row r="13" spans="1:2" ht="33.950000000000003" customHeight="1">
      <c r="A13" s="7">
        <v>4</v>
      </c>
      <c r="B13" s="8" t="s">
        <v>137</v>
      </c>
    </row>
    <row r="15" spans="1:2" ht="33.950000000000003" customHeight="1">
      <c r="A15" s="7">
        <v>5</v>
      </c>
      <c r="B15" s="8" t="s">
        <v>133</v>
      </c>
    </row>
    <row r="17" spans="1:2" ht="33.950000000000003" customHeight="1">
      <c r="A17" s="7">
        <v>6</v>
      </c>
      <c r="B17" s="8" t="s">
        <v>138</v>
      </c>
    </row>
    <row r="18" spans="1:2" ht="21.95" customHeight="1">
      <c r="B18" s="9" t="s">
        <v>139</v>
      </c>
    </row>
    <row r="20" spans="1:2" ht="20.100000000000001" customHeight="1">
      <c r="A20" s="36" t="s">
        <v>126</v>
      </c>
      <c r="B20" s="37"/>
    </row>
    <row r="21" spans="1:2" ht="33.950000000000003" customHeight="1">
      <c r="A21" s="7">
        <v>7</v>
      </c>
      <c r="B21" s="8" t="s">
        <v>134</v>
      </c>
    </row>
    <row r="22" spans="1:2" ht="21.95" customHeight="1">
      <c r="B22" s="9" t="s">
        <v>135</v>
      </c>
    </row>
    <row r="24" spans="1:2" ht="33.950000000000003" customHeight="1">
      <c r="A24" s="7">
        <v>8</v>
      </c>
      <c r="B24" s="10" t="s">
        <v>144</v>
      </c>
    </row>
    <row r="26" spans="1:2" ht="33.950000000000003" customHeight="1">
      <c r="A26" s="7">
        <v>9</v>
      </c>
      <c r="B26" s="8" t="s">
        <v>127</v>
      </c>
    </row>
    <row r="28" spans="1:2" ht="33.950000000000003" customHeight="1">
      <c r="A28" s="7">
        <v>10</v>
      </c>
      <c r="B28" s="8" t="s">
        <v>128</v>
      </c>
    </row>
    <row r="31" spans="1:2" ht="33.950000000000003" customHeight="1">
      <c r="A31" s="7">
        <v>11</v>
      </c>
      <c r="B31" s="8" t="s">
        <v>129</v>
      </c>
    </row>
    <row r="33" spans="1:2" ht="20.100000000000001" customHeight="1">
      <c r="A33" s="36" t="s">
        <v>130</v>
      </c>
      <c r="B33" s="37"/>
    </row>
    <row r="34" spans="1:2" ht="33.950000000000003" customHeight="1">
      <c r="A34" s="7">
        <v>12</v>
      </c>
      <c r="B34" s="10" t="s">
        <v>140</v>
      </c>
    </row>
    <row r="35" spans="1:2" ht="29.45" customHeight="1">
      <c r="B35" s="11" t="s">
        <v>141</v>
      </c>
    </row>
    <row r="38" spans="1:2" ht="33.950000000000003" customHeight="1">
      <c r="A38" s="7">
        <v>13</v>
      </c>
      <c r="B38" s="10" t="s">
        <v>142</v>
      </c>
    </row>
    <row r="40" spans="1:2" ht="33.950000000000003" customHeight="1">
      <c r="A40" s="7">
        <v>14</v>
      </c>
      <c r="B40" s="8" t="s">
        <v>131</v>
      </c>
    </row>
    <row r="42" spans="1:2" ht="33.950000000000003" customHeight="1">
      <c r="A42" s="7">
        <v>15</v>
      </c>
      <c r="B42" s="10" t="s">
        <v>143</v>
      </c>
    </row>
  </sheetData>
  <mergeCells count="5">
    <mergeCell ref="A4:B4"/>
    <mergeCell ref="A20:B20"/>
    <mergeCell ref="A2:B2"/>
    <mergeCell ref="A1:B1"/>
    <mergeCell ref="A33:B33"/>
  </mergeCells>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Orders</vt:lpstr>
      <vt:lpstr>Revenue Pivot</vt:lpstr>
      <vt:lpstr>Revenue Chart</vt:lpstr>
      <vt:lpstr>Employee Lookup</vt:lpstr>
      <vt:lpstr>Product Lookup</vt:lpstr>
      <vt:lpstr>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Rebecca Falade</cp:lastModifiedBy>
  <cp:lastPrinted>2026-08-26T14:54:59Z</cp:lastPrinted>
  <dcterms:created xsi:type="dcterms:W3CDTF">2026-08-05T15:35:04Z</dcterms:created>
  <dcterms:modified xsi:type="dcterms:W3CDTF">2026-08-27T09:10:39Z</dcterms:modified>
</cp:coreProperties>
</file>